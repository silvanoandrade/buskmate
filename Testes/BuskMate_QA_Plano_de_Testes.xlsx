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Requisitos" sheetId="2" state="visible" r:id="rId4"/>
    <sheet name="Casos de Test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<sst xmlns="http://schemas.openxmlformats.org/spreadsheetml/2006/main" count="731" uniqueCount="404">
  <si>
    <t xml:space="preserve">BuskMate — Plano de Testes (QA)</t>
  </si>
  <si>
    <t xml:space="preserve">Site: https://silvanoandrade.github.io/buskmate/</t>
  </si>
  <si>
    <t xml:space="preserve">Total de Requisitos</t>
  </si>
  <si>
    <t xml:space="preserve">Requisitos — Prioridade Alta</t>
  </si>
  <si>
    <t xml:space="preserve">Requisitos — Prioridade Média</t>
  </si>
  <si>
    <t xml:space="preserve">Requisitos — Prioridade Baixa</t>
  </si>
  <si>
    <t xml:space="preserve">Total de Casos de Teste</t>
  </si>
  <si>
    <t xml:space="preserve">Casos de Teste — Prioridade Alta</t>
  </si>
  <si>
    <t xml:space="preserve">Casos de Teste — Prioridade Média</t>
  </si>
  <si>
    <t xml:space="preserve">Casos de Teste — Prioridade Baixa</t>
  </si>
  <si>
    <t xml:space="preserve">Como usar este arquivo</t>
  </si>
  <si>
    <t xml:space="preserve">• Aba "Requisitos": lista de requisitos funcionais (RF) e não-funcionais (RNF) do frontend do BuskMate.</t>
  </si>
  <si>
    <t xml:space="preserve">• Aba "Casos de Teste": um ou mais casos de teste para cada requisito, prontos para execução manual.</t>
  </si>
  <si>
    <t xml:space="preserve">• Preencha a coluna "Status" (Pendente / Passou / Falhou / Bloqueado) e "Observações" ao executar os testes.</t>
  </si>
  <si>
    <t xml:space="preserve">• IDs de requisito e de caso de teste seguem o padrão RF-MÓDULO-NN / RNF-NN e TC-NNN para rastreabilidade.</t>
  </si>
  <si>
    <t xml:space="preserve">ID</t>
  </si>
  <si>
    <t xml:space="preserve">Módulo</t>
  </si>
  <si>
    <t xml:space="preserve">Descrição</t>
  </si>
  <si>
    <t xml:space="preserve">Prioridade</t>
  </si>
  <si>
    <t xml:space="preserve">RF-NAV-01</t>
  </si>
  <si>
    <t xml:space="preserve">Navegação</t>
  </si>
  <si>
    <t xml:space="preserve">Header exibe logo, links de navegação (Mapa, Login, Cadastrar) e seletor de idioma em todas as páginas (index, login, cadastro, mapa)</t>
  </si>
  <si>
    <t xml:space="preserve">Alta</t>
  </si>
  <si>
    <t xml:space="preserve">RF-NAV-02</t>
  </si>
  <si>
    <t xml:space="preserve">Clique no logo redireciona para index.html</t>
  </si>
  <si>
    <t xml:space="preserve">Média</t>
  </si>
  <si>
    <t xml:space="preserve">RF-NAV-03</t>
  </si>
  <si>
    <t xml:space="preserve">Link da página atual (mapa.html) é exibido com destaque visual (classe "active")</t>
  </si>
  <si>
    <t xml:space="preserve">Baixa</t>
  </si>
  <si>
    <t xml:space="preserve">RF-NAV-04</t>
  </si>
  <si>
    <t xml:space="preserve">Footer exibe texto padrão ("BuskMate Beta...") em todas as páginas</t>
  </si>
  <si>
    <t xml:space="preserve">RF-I18N-01</t>
  </si>
  <si>
    <t xml:space="preserve">Internacionalização</t>
  </si>
  <si>
    <t xml:space="preserve">Seletor de idioma exibe 3 opções: Português 🇵🇹, English 🇬🇧, Español 🇪🇸</t>
  </si>
  <si>
    <t xml:space="preserve">RF-I18N-02</t>
  </si>
  <si>
    <t xml:space="preserve">Selecionar um idioma traduz imediatamente todo texto marcado (nav, hero, features, formulários, footer), sem recarregar a página</t>
  </si>
  <si>
    <t xml:space="preserve">RF-I18N-03</t>
  </si>
  <si>
    <t xml:space="preserve">Idioma selecionado é mantido ao navegar entre páginas</t>
  </si>
  <si>
    <t xml:space="preserve">RF-I18N-04</t>
  </si>
  <si>
    <t xml:space="preserve">Idioma selecionado é mantido após fechar e reabrir o navegador (localStorage)</t>
  </si>
  <si>
    <t xml:space="preserve">RF-I18N-05</t>
  </si>
  <si>
    <t xml:space="preserve">Painel de spot aberto é retraduzido ao trocar idioma, sem fechar o painel</t>
  </si>
  <si>
    <t xml:space="preserve">RF-I18N-06</t>
  </si>
  <si>
    <t xml:space="preserve">Saudação "Olá, Nome" é retraduzida ao trocar idioma com usuário logado</t>
  </si>
  <si>
    <t xml:space="preserve">RF-I18N-07</t>
  </si>
  <si>
    <t xml:space="preserve">Idioma padrão (primeira visita, sem seleção prévia) é Português</t>
  </si>
  <si>
    <t xml:space="preserve">RF-I18N-08</t>
  </si>
  <si>
    <t xml:space="preserve">Clicar fora do menu de idiomas fecha o menu</t>
  </si>
  <si>
    <t xml:space="preserve">RF-I18N-09</t>
  </si>
  <si>
    <t xml:space="preserve">Descrição e melhor horário de cada spot mudam conforme o idioma selecionado</t>
  </si>
  <si>
    <t xml:space="preserve">RF-CAD-01</t>
  </si>
  <si>
    <t xml:space="preserve">Cadastro</t>
  </si>
  <si>
    <t xml:space="preserve">Formulário exige Nome, Email, Senha e Confirmar Senha</t>
  </si>
  <si>
    <t xml:space="preserve">RF-CAD-02</t>
  </si>
  <si>
    <t xml:space="preserve">Senha com menos de 6 caracteres bloqueia o envio e exibe mensagem de erro</t>
  </si>
  <si>
    <t xml:space="preserve">RF-CAD-03</t>
  </si>
  <si>
    <t xml:space="preserve">Senha e Confirmar Senha diferentes exibem mensagem de erro</t>
  </si>
  <si>
    <t xml:space="preserve">RF-CAD-04</t>
  </si>
  <si>
    <t xml:space="preserve">Tentar cadastrar com email já existente exibe mensagem de erro</t>
  </si>
  <si>
    <t xml:space="preserve">RF-CAD-05</t>
  </si>
  <si>
    <t xml:space="preserve">Cadastro válido salva o usuário e exibe mensagem de sucesso</t>
  </si>
  <si>
    <t xml:space="preserve">RF-CAD-06</t>
  </si>
  <si>
    <t xml:space="preserve">Após cadastro bem-sucedido, a página redireciona automaticamente para login.html</t>
  </si>
  <si>
    <t xml:space="preserve">RF-CAD-07</t>
  </si>
  <si>
    <t xml:space="preserve">Campos obrigatórios (validação HTML5) impedem envio do formulário vazio</t>
  </si>
  <si>
    <t xml:space="preserve">RF-LOG-01</t>
  </si>
  <si>
    <t xml:space="preserve">Login</t>
  </si>
  <si>
    <t xml:space="preserve">Formulário exige Email e Senha</t>
  </si>
  <si>
    <t xml:space="preserve">RF-LOG-02</t>
  </si>
  <si>
    <t xml:space="preserve">Credenciais inválidas exibem mensagem de erro</t>
  </si>
  <si>
    <t xml:space="preserve">RF-LOG-03</t>
  </si>
  <si>
    <t xml:space="preserve">Login válido cria sessão e redireciona para mapa.html</t>
  </si>
  <si>
    <t xml:space="preserve">RF-LOG-04</t>
  </si>
  <si>
    <t xml:space="preserve">RF-SESS-01</t>
  </si>
  <si>
    <t xml:space="preserve">Sessão</t>
  </si>
  <si>
    <t xml:space="preserve">Usuário logado vê "Olá, Nome · Sair" na navbar do mapa, no lugar de Login/Cadastrar</t>
  </si>
  <si>
    <t xml:space="preserve">RF-SESS-02</t>
  </si>
  <si>
    <t xml:space="preserve">Clicar em "Sair" encerra a sessão e redireciona para index.html</t>
  </si>
  <si>
    <t xml:space="preserve">RF-SESS-03</t>
  </si>
  <si>
    <t xml:space="preserve">Estado de login persiste ao recarregar a página do mapa</t>
  </si>
  <si>
    <t xml:space="preserve">RF-SESS-04</t>
  </si>
  <si>
    <t xml:space="preserve">Usuário deslogado não vê saudação nem link "Sair"</t>
  </si>
  <si>
    <t xml:space="preserve">RF-MAPA-01</t>
  </si>
  <si>
    <t xml:space="preserve">Mapa</t>
  </si>
  <si>
    <t xml:space="preserve">Mapa carrega centrado no Porto usando tiles do OpenStreetMap</t>
  </si>
  <si>
    <t xml:space="preserve">RF-MAPA-02</t>
  </si>
  <si>
    <t xml:space="preserve">Mapa exibe 10 marcadores correspondentes aos spots cadastrados</t>
  </si>
  <si>
    <t xml:space="preserve">RF-MAPA-03</t>
  </si>
  <si>
    <t xml:space="preserve">Tooltip com o nome do spot aparece ao passar o mouse sobre o marcador</t>
  </si>
  <si>
    <t xml:space="preserve">RF-MAPA-04</t>
  </si>
  <si>
    <t xml:space="preserve">Clicar em um marcador abre o painel lateral com informações do spot</t>
  </si>
  <si>
    <t xml:space="preserve">RF-MAPA-05</t>
  </si>
  <si>
    <t xml:space="preserve">Painel exibe avaliação média (estrelas + nº de avaliações) ou "Ainda sem avaliações"</t>
  </si>
  <si>
    <t xml:space="preserve">RF-MAPA-06</t>
  </si>
  <si>
    <t xml:space="preserve">Painel exibe descrição e melhor horário do spot</t>
  </si>
  <si>
    <t xml:space="preserve">RF-MAPA-07</t>
  </si>
  <si>
    <t xml:space="preserve">Botão × fecha o painel lateral</t>
  </si>
  <si>
    <t xml:space="preserve">RF-MAPA-08</t>
  </si>
  <si>
    <t xml:space="preserve">Controles de zoom (+/-) do mapa funcionam corretamente</t>
  </si>
  <si>
    <t xml:space="preserve">RF-AVAL-01</t>
  </si>
  <si>
    <t xml:space="preserve">Avaliação</t>
  </si>
  <si>
    <t xml:space="preserve">Usuário logado vê formulário de avaliação (estrelas 1-5 + comentário) no painel do spot</t>
  </si>
  <si>
    <t xml:space="preserve">RF-AVAL-02</t>
  </si>
  <si>
    <t xml:space="preserve">Usuário deslogado vê mensagem convidando a fazer login, sem o formulário de avaliação</t>
  </si>
  <si>
    <t xml:space="preserve">RF-AVAL-03</t>
  </si>
  <si>
    <t xml:space="preserve">Selecionar uma estrela preenche visualmente as estrelas anteriores</t>
  </si>
  <si>
    <t xml:space="preserve">RF-AVAL-04</t>
  </si>
  <si>
    <t xml:space="preserve">Tentar enviar avaliação sem selecionar estrelas exibe mensagem de validação</t>
  </si>
  <si>
    <t xml:space="preserve">RF-AVAL-05</t>
  </si>
  <si>
    <t xml:space="preserve">Avaliação enviada aparece na lista de comentários imediatamente</t>
  </si>
  <si>
    <t xml:space="preserve">RF-AVAL-06</t>
  </si>
  <si>
    <t xml:space="preserve">Média de avaliação do spot é recalculada após nova avaliação</t>
  </si>
  <si>
    <t xml:space="preserve">RF-AVAL-07</t>
  </si>
  <si>
    <t xml:space="preserve">Campo de comentário é opcional ao enviar avaliação</t>
  </si>
  <si>
    <t xml:space="preserve">RF-AVAL-08</t>
  </si>
  <si>
    <t xml:space="preserve">Lista de comentários exibe autor (primeiro nome) e estrelas, mais recente primeiro</t>
  </si>
  <si>
    <t xml:space="preserve">RF-DATA-01</t>
  </si>
  <si>
    <t xml:space="preserve">Persistência de Dados</t>
  </si>
  <si>
    <t xml:space="preserve">Usuários, sessão, avaliações e idioma são armazenados no localStorage do navegador</t>
  </si>
  <si>
    <t xml:space="preserve">RF-DATA-02</t>
  </si>
  <si>
    <t xml:space="preserve">Dados não sincronizam entre navegadores/dispositivos diferentes (limitação conhecida do MVP)</t>
  </si>
  <si>
    <t xml:space="preserve">RF-DATA-03</t>
  </si>
  <si>
    <t xml:space="preserve">Limpar o localStorage do navegador reseta o estado da aplicação</t>
  </si>
  <si>
    <t xml:space="preserve">RNF-01</t>
  </si>
  <si>
    <t xml:space="preserve">Não-funcional</t>
  </si>
  <si>
    <t xml:space="preserve">Site publicamente acessível via URL do GitHub Pages</t>
  </si>
  <si>
    <t xml:space="preserve">RNF-02</t>
  </si>
  <si>
    <t xml:space="preserve">Layout responsivo em telas mobile (~375px de largura), sem quebras visuais</t>
  </si>
  <si>
    <t xml:space="preserve">RNF-03</t>
  </si>
  <si>
    <t xml:space="preserve">Nenhum erro é exibido no console do navegador em nenhuma das 4 páginas</t>
  </si>
  <si>
    <t xml:space="preserve">RNF-04</t>
  </si>
  <si>
    <t xml:space="preserve">Site funciona nas versões atuais de Chrome, Firefox e Safari</t>
  </si>
  <si>
    <t xml:space="preserve">RNF-05</t>
  </si>
  <si>
    <t xml:space="preserve">Tempo de carregamento inicial aceitável (&lt; 3s em conexão normal)</t>
  </si>
  <si>
    <t xml:space="preserve">RNF-06</t>
  </si>
  <si>
    <t xml:space="preserve">Elementos interativos são acessíveis via navegação por teclado (Tab/Enter)</t>
  </si>
  <si>
    <t xml:space="preserve">RNF-07</t>
  </si>
  <si>
    <t xml:space="preserve">Imagens e ícones possuem texto alternativo (alt) apropriado</t>
  </si>
  <si>
    <t xml:space="preserve">ID Caso</t>
  </si>
  <si>
    <t xml:space="preserve">ID Requisito</t>
  </si>
  <si>
    <t xml:space="preserve">Título</t>
  </si>
  <si>
    <t xml:space="preserve">Pré-condições</t>
  </si>
  <si>
    <t xml:space="preserve">Passos</t>
  </si>
  <si>
    <t xml:space="preserve">Resultado Esperado</t>
  </si>
  <si>
    <t xml:space="preserve">Tipo</t>
  </si>
  <si>
    <t xml:space="preserve">Status</t>
  </si>
  <si>
    <t xml:space="preserve">Observações</t>
  </si>
  <si>
    <t xml:space="preserve">TC-001</t>
  </si>
  <si>
    <t xml:space="preserve">Header completo em todas as páginas</t>
  </si>
  <si>
    <t xml:space="preserve">Nenhuma</t>
  </si>
  <si>
    <t xml:space="preserve">1. Abrir index.html
2. Abrir login.html
3. Abrir cadastro.html
4. Abrir mapa.html</t>
  </si>
  <si>
    <t xml:space="preserve">Em todas as páginas o header mostra logo, links Mapa/Login/Cadastrar e o seletor de idioma</t>
  </si>
  <si>
    <t xml:space="preserve">Funcional</t>
  </si>
  <si>
    <t xml:space="preserve">Pendente</t>
  </si>
  <si>
    <t xml:space="preserve">TC-002</t>
  </si>
  <si>
    <t xml:space="preserve">Logo redireciona para a home</t>
  </si>
  <si>
    <t xml:space="preserve">Estar em qualquer página que não seja index</t>
  </si>
  <si>
    <t xml:space="preserve">1. Clicar no logo BuskMate no header</t>
  </si>
  <si>
    <t xml:space="preserve">É redirecionado para index.html</t>
  </si>
  <si>
    <t xml:space="preserve">TC-003</t>
  </si>
  <si>
    <t xml:space="preserve">Link "Mapa" destacado na página do mapa</t>
  </si>
  <si>
    <t xml:space="preserve">Estar em mapa.html</t>
  </si>
  <si>
    <t xml:space="preserve">1. Abrir mapa.html e observar o link "Mapa" no header</t>
  </si>
  <si>
    <t xml:space="preserve">O link "Mapa" aparece com estilo diferenciado (ativo) em relação aos demais links</t>
  </si>
  <si>
    <t xml:space="preserve">UI</t>
  </si>
  <si>
    <t xml:space="preserve">TC-004</t>
  </si>
  <si>
    <t xml:space="preserve">Footer presente em todas as páginas</t>
  </si>
  <si>
    <t xml:space="preserve">1. Abrir cada uma das 4 páginas e rolar até o rodapé</t>
  </si>
  <si>
    <t xml:space="preserve">O texto "BuskMate Beta" aparece no rodapé de todas as páginas</t>
  </si>
  <si>
    <t xml:space="preserve">TC-005</t>
  </si>
  <si>
    <t xml:space="preserve">Seletor mostra as 3 opções de idioma</t>
  </si>
  <si>
    <t xml:space="preserve">1. Clicar no botão de idioma (🌐) no header</t>
  </si>
  <si>
    <t xml:space="preserve">Menu abre mostrando Português 🇵🇹, English 🇬🇧 e Español 🇪🇸</t>
  </si>
  <si>
    <t xml:space="preserve">TC-006</t>
  </si>
  <si>
    <t xml:space="preserve">Troca para inglês traduz a home</t>
  </si>
  <si>
    <t xml:space="preserve">Estar em index.html</t>
  </si>
  <si>
    <t xml:space="preserve">1. Abrir seletor de idioma
2. Clicar em English</t>
  </si>
  <si>
    <t xml:space="preserve">Título, textos, botões e menu mudam para inglês instantaneamente, sem reload da página</t>
  </si>
  <si>
    <t xml:space="preserve">TC-007</t>
  </si>
  <si>
    <t xml:space="preserve">Troca para espanhol traduz a home</t>
  </si>
  <si>
    <t xml:space="preserve">1. Abrir seletor de idioma
2. Clicar em Español</t>
  </si>
  <si>
    <t xml:space="preserve">Título, textos, botões e menu mudam para espanhol instantaneamente</t>
  </si>
  <si>
    <t xml:space="preserve">TC-008</t>
  </si>
  <si>
    <t xml:space="preserve">Idioma persiste ao navegar entre páginas</t>
  </si>
  <si>
    <t xml:space="preserve">Idioma alterado para English na home</t>
  </si>
  <si>
    <t xml:space="preserve">1. Selecionar English na home
2. Clicar no link Mapa</t>
  </si>
  <si>
    <t xml:space="preserve">A página do mapa carrega já em inglês</t>
  </si>
  <si>
    <t xml:space="preserve">TC-009</t>
  </si>
  <si>
    <t xml:space="preserve">Idioma persiste após fechar e reabrir o navegador</t>
  </si>
  <si>
    <t xml:space="preserve">Idioma alterado para Español</t>
  </si>
  <si>
    <t xml:space="preserve">1. Selecionar Español
2. Fechar a aba/navegador
3. Reabrir o site</t>
  </si>
  <si>
    <t xml:space="preserve">O site abre em espanhol</t>
  </si>
  <si>
    <t xml:space="preserve">TC-010</t>
  </si>
  <si>
    <t xml:space="preserve">Painel do spot é retraduzido sem fechar</t>
  </si>
  <si>
    <t xml:space="preserve">Estar logado, com painel de um spot aberto em Português</t>
  </si>
  <si>
    <t xml:space="preserve">1. Com o painel aberto, trocar idioma para English</t>
  </si>
  <si>
    <t xml:space="preserve">O conteúdo do painel (descrição, horário, textos) muda para inglês sem o painel fechar</t>
  </si>
  <si>
    <t xml:space="preserve">TC-011</t>
  </si>
  <si>
    <t xml:space="preserve">Saudação do usuário é retraduzida</t>
  </si>
  <si>
    <t xml:space="preserve">Estar logado no mapa, idioma em Português ("Olá, Nome")</t>
  </si>
  <si>
    <t xml:space="preserve">1. Trocar idioma para English</t>
  </si>
  <si>
    <t xml:space="preserve">Saudação muda para "Hi, Nome"</t>
  </si>
  <si>
    <t xml:space="preserve">TC-012</t>
  </si>
  <si>
    <t xml:space="preserve">Idioma padrão é Português na primeira visita</t>
  </si>
  <si>
    <t xml:space="preserve">Navegador/localStorage limpo (sem idioma salvo)</t>
  </si>
  <si>
    <t xml:space="preserve">1. Abrir o site pela primeira vez</t>
  </si>
  <si>
    <t xml:space="preserve">Todo o conteúdo aparece em Português e o seletor mostra "PT"</t>
  </si>
  <si>
    <t xml:space="preserve">TC-013</t>
  </si>
  <si>
    <t xml:space="preserve">Clicar fora fecha o menu de idiomas</t>
  </si>
  <si>
    <t xml:space="preserve">Menu de idiomas aberto</t>
  </si>
  <si>
    <t xml:space="preserve">1. Abrir o menu de idiomas
2. Clicar em qualquer área fora do menu</t>
  </si>
  <si>
    <t xml:space="preserve">O menu se fecha</t>
  </si>
  <si>
    <t xml:space="preserve">TC-014</t>
  </si>
  <si>
    <t xml:space="preserve">Descrição do spot muda conforme idioma</t>
  </si>
  <si>
    <t xml:space="preserve">Painel de um spot aberto</t>
  </si>
  <si>
    <t xml:space="preserve">1. Abrir painel do spot "Cais da Ribeira" em Português
2. Trocar para English
3. Trocar para Español</t>
  </si>
  <si>
    <t xml:space="preserve">A descrição e o "melhor horário" mudam de idioma a cada troca, mantendo a mesma informação</t>
  </si>
  <si>
    <t xml:space="preserve">TC-015</t>
  </si>
  <si>
    <t xml:space="preserve">Campos obrigatórios exibidos no cadastro</t>
  </si>
  <si>
    <t xml:space="preserve">1. Abrir cadastro.html</t>
  </si>
  <si>
    <t xml:space="preserve">Campos Nome, Email, Senha e Confirmar Senha estão visíveis</t>
  </si>
  <si>
    <t xml:space="preserve">TC-016</t>
  </si>
  <si>
    <t xml:space="preserve">Senha curta bloqueia cadastro</t>
  </si>
  <si>
    <t xml:space="preserve">Estar em cadastro.html</t>
  </si>
  <si>
    <t xml:space="preserve">1. Preencher Nome e Email válidos
2. Digitar "123" em Senha e Confirmar Senha
3. Enviar</t>
  </si>
  <si>
    <t xml:space="preserve">Mensagem "A senha deve ter pelo menos 6 caracteres." é exibida e o cadastro não é concluído</t>
  </si>
  <si>
    <t xml:space="preserve">Negativo</t>
  </si>
  <si>
    <t xml:space="preserve">TC-017</t>
  </si>
  <si>
    <t xml:space="preserve">Senhas diferentes bloqueiam cadastro</t>
  </si>
  <si>
    <t xml:space="preserve">1. Preencher Nome e Email
2. Senha "123456" e Confirmar Senha "654321"
3. Enviar</t>
  </si>
  <si>
    <t xml:space="preserve">Mensagem "As senhas não coincidem." é exibida e o cadastro não é concluído</t>
  </si>
  <si>
    <t xml:space="preserve">TC-018</t>
  </si>
  <si>
    <t xml:space="preserve">Cadastro com email duplicado é bloqueado</t>
  </si>
  <si>
    <t xml:space="preserve">Já existe um usuário cadastrado com email "teste@teste.com"</t>
  </si>
  <si>
    <t xml:space="preserve">1. Preencher o formulário novamente com email "teste@teste.com"
2. Enviar</t>
  </si>
  <si>
    <t xml:space="preserve">Mensagem "Já existe uma conta com este email." é exibida</t>
  </si>
  <si>
    <t xml:space="preserve">TC-019</t>
  </si>
  <si>
    <t xml:space="preserve">RF-CAD-05 / RF-CAD-06</t>
  </si>
  <si>
    <t xml:space="preserve">Cadastro válido tem sucesso e redireciona</t>
  </si>
  <si>
    <t xml:space="preserve">Email ainda não usado</t>
  </si>
  <si>
    <t xml:space="preserve">1. Preencher Nome, Email novo, Senha e Confirmar Senha iguais (6+ caracteres)
2. Enviar</t>
  </si>
  <si>
    <t xml:space="preserve">Mensagem de sucesso é exibida e, após ~1,2s, a página redireciona para login.html</t>
  </si>
  <si>
    <t xml:space="preserve">TC-020</t>
  </si>
  <si>
    <t xml:space="preserve">Envio com campos vazios é bloqueado pelo navegador</t>
  </si>
  <si>
    <t xml:space="preserve">1. Deixar todos os campos vazios
2. Clicar em Cadastrar</t>
  </si>
  <si>
    <t xml:space="preserve">O navegador impede o envio e sinaliza os campos obrigatórios (validação HTML5)</t>
  </si>
  <si>
    <t xml:space="preserve">TC-021</t>
  </si>
  <si>
    <t xml:space="preserve">Campos obrigatórios exibidos no login</t>
  </si>
  <si>
    <t xml:space="preserve">1. Abrir login.html</t>
  </si>
  <si>
    <t xml:space="preserve">Campos Email e Senha estão visíveis</t>
  </si>
  <si>
    <t xml:space="preserve">TC-022</t>
  </si>
  <si>
    <t xml:space="preserve">Login com credenciais inválidas é bloqueado</t>
  </si>
  <si>
    <t xml:space="preserve">Nenhum usuário com esse email, ou senha errada</t>
  </si>
  <si>
    <t xml:space="preserve">1. Preencher email/senha inexistentes
2. Enviar</t>
  </si>
  <si>
    <t xml:space="preserve">Mensagem "Email ou senha inválidos." é exibida</t>
  </si>
  <si>
    <t xml:space="preserve">TC-023</t>
  </si>
  <si>
    <t xml:space="preserve">Login válido cria sessão e redireciona</t>
  </si>
  <si>
    <t xml:space="preserve">Usuário previamente cadastrado</t>
  </si>
  <si>
    <t xml:space="preserve">1. Preencher email/senha corretos
2. Enviar</t>
  </si>
  <si>
    <t xml:space="preserve">Usuário é redirecionado para mapa.html e a sessão é criada</t>
  </si>
  <si>
    <t xml:space="preserve">TC-024</t>
  </si>
  <si>
    <t xml:space="preserve">Envio com campos vazios é bloqueado</t>
  </si>
  <si>
    <t xml:space="preserve">Estar em login.html</t>
  </si>
  <si>
    <t xml:space="preserve">1. Deixar campos vazios
2. Clicar em Entrar</t>
  </si>
  <si>
    <t xml:space="preserve">O navegador impede o envio (validação HTML5)</t>
  </si>
  <si>
    <t xml:space="preserve">TC-025</t>
  </si>
  <si>
    <t xml:space="preserve">Navbar mostra saudação quando logado</t>
  </si>
  <si>
    <t xml:space="preserve">Login realizado</t>
  </si>
  <si>
    <t xml:space="preserve">1. Fazer login
2. Observar a navbar do mapa</t>
  </si>
  <si>
    <t xml:space="preserve">Aparece "Olá, {PrimeiroNome} · Sair" no lugar de Login/Cadastrar</t>
  </si>
  <si>
    <t xml:space="preserve">TC-026</t>
  </si>
  <si>
    <t xml:space="preserve">"Sair" encerra a sessão</t>
  </si>
  <si>
    <t xml:space="preserve">Usuário logado no mapa</t>
  </si>
  <si>
    <t xml:space="preserve">1. Clicar em "Sair"</t>
  </si>
  <si>
    <t xml:space="preserve">Usuário é redirecionado para index.html e a navbar volta a exibir Login/Cadastrar</t>
  </si>
  <si>
    <t xml:space="preserve">TC-027</t>
  </si>
  <si>
    <t xml:space="preserve">Sessão persiste ao recarregar</t>
  </si>
  <si>
    <t xml:space="preserve">Usuário logado</t>
  </si>
  <si>
    <t xml:space="preserve">1. Fazer login
2. Recarregar (F5) a página do mapa</t>
  </si>
  <si>
    <t xml:space="preserve">Usuário continua logado, saudação continua visível</t>
  </si>
  <si>
    <t xml:space="preserve">TC-028</t>
  </si>
  <si>
    <t xml:space="preserve">Visitante deslogado não vê saudação</t>
  </si>
  <si>
    <t xml:space="preserve">Nenhuma sessão ativa</t>
  </si>
  <si>
    <t xml:space="preserve">1. Abrir mapa.html sem estar logado</t>
  </si>
  <si>
    <t xml:space="preserve">Navbar mostra Login/Cadastrar, sem saudação nem link Sair</t>
  </si>
  <si>
    <t xml:space="preserve">TC-029</t>
  </si>
  <si>
    <t xml:space="preserve">Mapa carrega centrado no Porto</t>
  </si>
  <si>
    <t xml:space="preserve">1. Abrir mapa.html</t>
  </si>
  <si>
    <t xml:space="preserve">O mapa é exibido com tiles do OpenStreetMap, centralizado na região do Porto</t>
  </si>
  <si>
    <t xml:space="preserve">TC-030</t>
  </si>
  <si>
    <t xml:space="preserve">Mapa exibe os 10 marcadores</t>
  </si>
  <si>
    <t xml:space="preserve">1. Contar os marcadores exibidos no mapa</t>
  </si>
  <si>
    <t xml:space="preserve">Exatamente 10 marcadores (pins) estão visíveis, correspondendo aos spots cadastrados</t>
  </si>
  <si>
    <t xml:space="preserve">TC-031</t>
  </si>
  <si>
    <t xml:space="preserve">Tooltip exibe nome do spot</t>
  </si>
  <si>
    <t xml:space="preserve">1. Passar o mouse sobre um marcador</t>
  </si>
  <si>
    <t xml:space="preserve">Um tooltip com o nome do spot aparece</t>
  </si>
  <si>
    <t xml:space="preserve">TC-032</t>
  </si>
  <si>
    <t xml:space="preserve">Clique no marcador abre o painel</t>
  </si>
  <si>
    <t xml:space="preserve">1. Clicar em um marcador</t>
  </si>
  <si>
    <t xml:space="preserve">O painel lateral abre exibindo as informações daquele spot</t>
  </si>
  <si>
    <t xml:space="preserve">TC-033</t>
  </si>
  <si>
    <t xml:space="preserve">Painel exibe "Ainda sem avaliações" quando aplicável</t>
  </si>
  <si>
    <t xml:space="preserve">Spot sem avaliações prévias</t>
  </si>
  <si>
    <t xml:space="preserve">1. Abrir o painel de um spot sem avaliações</t>
  </si>
  <si>
    <t xml:space="preserve">Texto "Ainda sem avaliações" é exibido no lugar da média</t>
  </si>
  <si>
    <t xml:space="preserve">TC-034</t>
  </si>
  <si>
    <t xml:space="preserve">Painel exibe média e contagem quando há avaliações</t>
  </si>
  <si>
    <t xml:space="preserve">Spot com ao menos 1 avaliação</t>
  </si>
  <si>
    <t xml:space="preserve">1. Abrir o painel de um spot já avaliado</t>
  </si>
  <si>
    <t xml:space="preserve">Estrelas, nota média e "(N avaliações)" são exibidas corretamente</t>
  </si>
  <si>
    <t xml:space="preserve">TC-035</t>
  </si>
  <si>
    <t xml:space="preserve">Painel exibe descrição e melhor horário</t>
  </si>
  <si>
    <t xml:space="preserve">1. Observar o conteúdo do painel</t>
  </si>
  <si>
    <t xml:space="preserve">Descrição e "Melhor horário:" com o respectivo texto aparecem corretamente</t>
  </si>
  <si>
    <t xml:space="preserve">TC-036</t>
  </si>
  <si>
    <t xml:space="preserve">Botão × fecha o painel</t>
  </si>
  <si>
    <t xml:space="preserve">1. Clicar no botão × no canto do painel</t>
  </si>
  <si>
    <t xml:space="preserve">O painel é ocultado</t>
  </si>
  <si>
    <t xml:space="preserve">TC-037</t>
  </si>
  <si>
    <t xml:space="preserve">Zoom in/out funciona</t>
  </si>
  <si>
    <t xml:space="preserve">1. Clicar no botão "+"
2. Clicar no botão "−"</t>
  </si>
  <si>
    <t xml:space="preserve">O mapa aumenta e diminui o zoom corretamente</t>
  </si>
  <si>
    <t xml:space="preserve">TC-038</t>
  </si>
  <si>
    <t xml:space="preserve">Formulário de avaliação visível quando logado</t>
  </si>
  <si>
    <t xml:space="preserve">Usuário logado, painel de spot aberto</t>
  </si>
  <si>
    <t xml:space="preserve">1. Fazer login
2. Abrir o painel de um spot</t>
  </si>
  <si>
    <t xml:space="preserve">Formulário com 5 estrelas e campo de comentário é exibido</t>
  </si>
  <si>
    <t xml:space="preserve">TC-039</t>
  </si>
  <si>
    <t xml:space="preserve">Prompt de login exibido quando deslogado</t>
  </si>
  <si>
    <t xml:space="preserve">Usuário deslogado, painel de spot aberto</t>
  </si>
  <si>
    <t xml:space="preserve">1. Sem estar logado, abrir o painel de um spot</t>
  </si>
  <si>
    <t xml:space="preserve">Mensagem convidando a fazer login é exibida no lugar do formulário</t>
  </si>
  <si>
    <t xml:space="preserve">TC-040</t>
  </si>
  <si>
    <t xml:space="preserve">Seleção de estrelas preenche visualmente</t>
  </si>
  <si>
    <t xml:space="preserve">Formulário de avaliação visível</t>
  </si>
  <si>
    <t xml:space="preserve">1. Clicar na 4ª estrela</t>
  </si>
  <si>
    <t xml:space="preserve">As 4 primeiras estrelas ficam preenchidas (★) e a 5ª vazia (☆)</t>
  </si>
  <si>
    <t xml:space="preserve">TC-041</t>
  </si>
  <si>
    <t xml:space="preserve">Envio sem estrelas selecionadas é bloqueado</t>
  </si>
  <si>
    <t xml:space="preserve">Formulário de avaliação visível, nenhuma estrela selecionada</t>
  </si>
  <si>
    <t xml:space="preserve">1. Preencher apenas o comentário
2. Clicar em Enviar avaliação</t>
  </si>
  <si>
    <t xml:space="preserve">Mensagem "Selecione de 1 a 5 estrelas." é exibida e a avaliação não é salva</t>
  </si>
  <si>
    <t xml:space="preserve">TC-042</t>
  </si>
  <si>
    <t xml:space="preserve">RF-AVAL-05 / RF-AVAL-06</t>
  </si>
  <si>
    <t xml:space="preserve">Avaliação enviada atualiza lista e média</t>
  </si>
  <si>
    <t xml:space="preserve">1. Selecionar 4 estrelas
2. Escrever um comentário
3. Enviar</t>
  </si>
  <si>
    <t xml:space="preserve">A nova avaliação aparece no topo da lista de comentários e a média/nº de avaliações é atualizada imediatamente</t>
  </si>
  <si>
    <t xml:space="preserve">TC-043</t>
  </si>
  <si>
    <t xml:space="preserve">Avaliação sem comentário é aceita</t>
  </si>
  <si>
    <t xml:space="preserve">1. Selecionar 5 estrelas
2. Deixar o comentário vazio
3. Enviar</t>
  </si>
  <si>
    <t xml:space="preserve">Avaliação é salva normalmente, sem comentário exibido</t>
  </si>
  <si>
    <t xml:space="preserve">TC-044</t>
  </si>
  <si>
    <t xml:space="preserve">Comentários exibidos mais recente primeiro</t>
  </si>
  <si>
    <t xml:space="preserve">Spot com 2+ avaliações</t>
  </si>
  <si>
    <t xml:space="preserve">1. Enviar uma nova avaliação em um spot que já possui avaliações</t>
  </si>
  <si>
    <t xml:space="preserve">A avaliação mais recente aparece no topo da lista, com autor e estrelas corretos</t>
  </si>
  <si>
    <t xml:space="preserve">TC-045</t>
  </si>
  <si>
    <t xml:space="preserve">Dados persistem após reload</t>
  </si>
  <si>
    <t xml:space="preserve">Usuário cadastrado, avaliação enviada</t>
  </si>
  <si>
    <t xml:space="preserve">1. Cadastrar usuário, logar, enviar uma avaliação
2. Recarregar a página</t>
  </si>
  <si>
    <t xml:space="preserve">Usuário, sessão e avaliação continuam presentes</t>
  </si>
  <si>
    <t xml:space="preserve">TC-046</t>
  </si>
  <si>
    <t xml:space="preserve">Dados não aparecem em outro navegador</t>
  </si>
  <si>
    <t xml:space="preserve">Dados criados em um navegador (ex: Chrome)</t>
  </si>
  <si>
    <t xml:space="preserve">1. Criar usuário/avaliação no Chrome
2. Abrir o site em outro navegador (ex: Firefox)</t>
  </si>
  <si>
    <t xml:space="preserve">O usuário/avaliação criados não aparecem no outro navegador</t>
  </si>
  <si>
    <t xml:space="preserve">TC-047</t>
  </si>
  <si>
    <t xml:space="preserve">Limpar localStorage reseta o app</t>
  </si>
  <si>
    <t xml:space="preserve">Usuário logado com dados salvos</t>
  </si>
  <si>
    <t xml:space="preserve">1. Limpar o localStorage do site (DevTools &gt; Application)
2. Recarregar a página</t>
  </si>
  <si>
    <t xml:space="preserve">Usuário aparece deslogado e nenhum dado criado anteriormente é exibido</t>
  </si>
  <si>
    <t xml:space="preserve">TC-048</t>
  </si>
  <si>
    <t xml:space="preserve">Site acessível publicamente</t>
  </si>
  <si>
    <t xml:space="preserve">1. Acessar https://silvanoandrade.github.io/buskmate/ em uma aba anônima</t>
  </si>
  <si>
    <t xml:space="preserve">O site carrega normalmente, sem necessidade de login no GitHub</t>
  </si>
  <si>
    <t xml:space="preserve">TC-049</t>
  </si>
  <si>
    <t xml:space="preserve">Layout responsivo em mobile</t>
  </si>
  <si>
    <t xml:space="preserve">1. Abrir o site com a janela/emulador em ~375px de largura, em cada uma das 4 páginas</t>
  </si>
  <si>
    <t xml:space="preserve">Layout se adapta sem elementos cortados, sobrepostos ou com scroll horizontal</t>
  </si>
  <si>
    <t xml:space="preserve">TC-050</t>
  </si>
  <si>
    <t xml:space="preserve">Console sem erros</t>
  </si>
  <si>
    <t xml:space="preserve">1. Abrir o DevTools (Console)
2. Navegar pelas 4 páginas</t>
  </si>
  <si>
    <t xml:space="preserve">Nenhum erro (vermelho) aparece no console em nenhuma página</t>
  </si>
  <si>
    <t xml:space="preserve">TC-051</t>
  </si>
  <si>
    <t xml:space="preserve">Compatibilidade entre navegadores</t>
  </si>
  <si>
    <t xml:space="preserve">1. Abrir o site no Chrome
2. Abrir no Firefox
3. Abrir no Safari</t>
  </si>
  <si>
    <t xml:space="preserve">O site funciona e aparenta-se igual nos três navegadores</t>
  </si>
  <si>
    <t xml:space="preserve">Compatibilidade</t>
  </si>
  <si>
    <t xml:space="preserve">TC-052</t>
  </si>
  <si>
    <t xml:space="preserve">Tempo de carregamento aceitável</t>
  </si>
  <si>
    <t xml:space="preserve">Conexão de internet normal</t>
  </si>
  <si>
    <t xml:space="preserve">1. Medir o tempo de carregamento da home (DevTools &gt; Network)</t>
  </si>
  <si>
    <t xml:space="preserve">A página termina de carregar em menos de 3 segundos</t>
  </si>
  <si>
    <t xml:space="preserve">Performance</t>
  </si>
  <si>
    <t xml:space="preserve">TC-053</t>
  </si>
  <si>
    <t xml:space="preserve">Navegação por teclado</t>
  </si>
  <si>
    <t xml:space="preserve">1. Usar a tecla Tab para navegar pelos elementos da página
2. Usar Enter para ativar links/botões</t>
  </si>
  <si>
    <t xml:space="preserve">O foco visual percorre logo, links, seletor de idioma e botões em ordem lógica, e Enter ativa o item focado</t>
  </si>
  <si>
    <t xml:space="preserve">Acessibilidade</t>
  </si>
  <si>
    <t xml:space="preserve">TC-054</t>
  </si>
  <si>
    <t xml:space="preserve">Imagens possuem texto alternativo</t>
  </si>
  <si>
    <t xml:space="preserve">1. Inspecionar (DevTools) as imagens do logo e ícones do site</t>
  </si>
  <si>
    <t xml:space="preserve">Todas possuem atributo alt preenchido de forma descritiva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</si>
</sst>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C2B3A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C2B3A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C2B3A"/>
        <bgColor rgb="FF003366"/>
      </patternFill>
    </fill>
    <fill>
      <patternFill patternType="solid">
        <fgColor rgb="FFFDE2E1"/>
        <bgColor rgb="FFFFF3CD"/>
      </patternFill>
    </fill>
    <fill>
      <patternFill patternType="solid">
        <fgColor rgb="FFFFF3CD"/>
        <bgColor rgb="FFF2F2F2"/>
      </patternFill>
    </fill>
    <fill>
      <patternFill patternType="solid">
        <fgColor rgb="FFE2F0D9"/>
        <bgColor rgb="FFF2F2F2"/>
      </patternFill>
    </fill>
    <fill>
      <patternFill patternType="solid">
        <fgColor rgb="FFF2F2F2"/>
        <bgColor rgb="FFE2F0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C2B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DE2E1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F2F2F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DE2E1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2B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CasosTeste" displayName="TabCasosTeste" ref="A1:J55" headerRowCount="1" totalsRowCount="0" totalsRowShown="0">
  <autoFilter ref="A1:J55"/>
  <tableColumns count="10">
    <tableColumn id="1" name="ID Caso"/>
    <tableColumn id="2" name="ID Requisito"/>
    <tableColumn id="3" name="Título"/>
    <tableColumn id="4" name="Pré-condições"/>
    <tableColumn id="5" name="Passos"/>
    <tableColumn id="6" name="Resultado Esperado"/>
    <tableColumn id="7" name="Tipo"/>
    <tableColumn id="8" name="Prioridade"/>
    <tableColumn id="9" name="Status"/>
    <tableColumn id="10" name="Observações"/>
  </tableColumns>
</table>
</file>

<file path=xl/tables/table2.xml><?xml version="1.0" encoding="utf-8"?>
<table xmlns="http://schemas.openxmlformats.org/spreadsheetml/2006/main" id="2" name="TabRequisitos" displayName="TabRequisitos" ref="A1:D55" headerRowCount="1" totalsRowCount="0" totalsRowShown="0">
  <autoFilter ref="A1:D55"/>
  <tableColumns count="4">
    <tableColumn id="1" name="ID"/>
    <tableColumn id="2" name="Módulo"/>
    <tableColumn id="3" name="Descrição"/>
    <tableColumn id="4" name="Prioridad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8" min="4" style="0" width="1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n">
        <f aca="false">COUNTA(Requisitos!A2:A1000)</f>
        <v>54</v>
      </c>
    </row>
    <row r="6" customFormat="false" ht="15" hidden="false" customHeight="false" outlineLevel="0" collapsed="false">
      <c r="B6" s="3" t="s">
        <v>3</v>
      </c>
      <c r="C6" s="4" t="n">
        <f aca="false">COUNTIF(Requisitos!D2:D1000,"Alta")</f>
        <v>29</v>
      </c>
    </row>
    <row r="7" customFormat="false" ht="15" hidden="false" customHeight="false" outlineLevel="0" collapsed="false">
      <c r="B7" s="3" t="s">
        <v>4</v>
      </c>
      <c r="C7" s="4" t="n">
        <f aca="false">COUNTIF(Requisitos!D2:D1000,"Média")</f>
        <v>16</v>
      </c>
    </row>
    <row r="8" customFormat="false" ht="15" hidden="false" customHeight="false" outlineLevel="0" collapsed="false">
      <c r="B8" s="3" t="s">
        <v>5</v>
      </c>
      <c r="C8" s="4" t="n">
        <f aca="false">COUNTIF(Requisitos!D2:D1000,"Baixa")</f>
        <v>9</v>
      </c>
    </row>
    <row r="10" customFormat="false" ht="15" hidden="false" customHeight="false" outlineLevel="0" collapsed="false">
      <c r="B10" s="3" t="s">
        <v>6</v>
      </c>
      <c r="C10" s="4" t="n">
        <f aca="false">COUNTA('Casos de Teste'!A2:A1000)</f>
        <v>54</v>
      </c>
    </row>
    <row r="11" customFormat="false" ht="15" hidden="false" customHeight="false" outlineLevel="0" collapsed="false">
      <c r="B11" s="3" t="s">
        <v>7</v>
      </c>
      <c r="C11" s="4" t="n">
        <f aca="false">COUNTIF('Casos de Teste'!H2:H1000,"Alta")</f>
        <v>30</v>
      </c>
    </row>
    <row r="12" customFormat="false" ht="15" hidden="false" customHeight="false" outlineLevel="0" collapsed="false">
      <c r="B12" s="3" t="s">
        <v>8</v>
      </c>
      <c r="C12" s="4" t="n">
        <f aca="false">COUNTIF('Casos de Teste'!H2:H1000,"Média")</f>
        <v>15</v>
      </c>
    </row>
    <row r="13" customFormat="false" ht="15" hidden="false" customHeight="false" outlineLevel="0" collapsed="false">
      <c r="B13" s="3" t="s">
        <v>9</v>
      </c>
      <c r="C13" s="4" t="n">
        <f aca="false">COUNTIF('Casos de Teste'!H2:H1000,"Baixa")</f>
        <v>9</v>
      </c>
    </row>
    <row r="15" customFormat="false" ht="15" hidden="false" customHeight="false" outlineLevel="0" collapsed="false">
      <c r="B15" s="5" t="s">
        <v>10</v>
      </c>
    </row>
    <row r="16" customFormat="false" ht="15" hidden="false" customHeight="false" outlineLevel="0" collapsed="false">
      <c r="B16" s="3" t="s">
        <v>11</v>
      </c>
    </row>
    <row r="17" customFormat="false" ht="15" hidden="false" customHeight="false" outlineLevel="0" collapsed="false">
      <c r="B17" s="3" t="s">
        <v>12</v>
      </c>
    </row>
    <row r="18" customFormat="false" ht="15" hidden="false" customHeight="false" outlineLevel="0" collapsed="false">
      <c r="B18" s="3" t="s">
        <v>13</v>
      </c>
    </row>
    <row r="19" customFormat="false" ht="15" hidden="false" customHeight="false" outlineLevel="0" collapsed="false">
      <c r="B19" s="3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90"/>
    <col collapsed="false" customWidth="true" hidden="false" outlineLevel="0" max="4" min="4" style="0" width="11"/>
  </cols>
  <sheetData>
    <row r="1" customFormat="false" ht="24" hidden="false" customHeight="true" outlineLevel="0" collapsed="false">
      <c r="A1" s="6" t="s">
        <v>15</v>
      </c>
      <c r="B1" s="6" t="s">
        <v>16</v>
      </c>
      <c r="C1" s="6" t="s">
        <v>17</v>
      </c>
      <c r="D1" s="6" t="s">
        <v>18</v>
      </c>
    </row>
    <row r="2" customFormat="false" ht="23.85" hidden="false" customHeight="false" outlineLevel="0" collapsed="false">
      <c r="A2" s="7" t="s">
        <v>19</v>
      </c>
      <c r="B2" s="8" t="s">
        <v>20</v>
      </c>
      <c r="C2" s="8" t="s">
        <v>21</v>
      </c>
      <c r="D2" s="9" t="s">
        <v>22</v>
      </c>
    </row>
    <row r="3" customFormat="false" ht="15" hidden="false" customHeight="false" outlineLevel="0" collapsed="false">
      <c r="A3" s="7" t="s">
        <v>23</v>
      </c>
      <c r="B3" s="8" t="s">
        <v>20</v>
      </c>
      <c r="C3" s="8" t="s">
        <v>24</v>
      </c>
      <c r="D3" s="10" t="s">
        <v>25</v>
      </c>
    </row>
    <row r="4" customFormat="false" ht="15" hidden="false" customHeight="false" outlineLevel="0" collapsed="false">
      <c r="A4" s="7" t="s">
        <v>26</v>
      </c>
      <c r="B4" s="8" t="s">
        <v>20</v>
      </c>
      <c r="C4" s="8" t="s">
        <v>27</v>
      </c>
      <c r="D4" s="11" t="s">
        <v>28</v>
      </c>
    </row>
    <row r="5" customFormat="false" ht="15" hidden="false" customHeight="false" outlineLevel="0" collapsed="false">
      <c r="A5" s="7" t="s">
        <v>29</v>
      </c>
      <c r="B5" s="8" t="s">
        <v>20</v>
      </c>
      <c r="C5" s="8" t="s">
        <v>30</v>
      </c>
      <c r="D5" s="11" t="s">
        <v>28</v>
      </c>
    </row>
    <row r="6" customFormat="false" ht="15" hidden="false" customHeight="false" outlineLevel="0" collapsed="false">
      <c r="A6" s="7" t="s">
        <v>31</v>
      </c>
      <c r="B6" s="8" t="s">
        <v>32</v>
      </c>
      <c r="C6" s="8" t="s">
        <v>33</v>
      </c>
      <c r="D6" s="9" t="s">
        <v>22</v>
      </c>
    </row>
    <row r="7" customFormat="false" ht="23.85" hidden="false" customHeight="false" outlineLevel="0" collapsed="false">
      <c r="A7" s="7" t="s">
        <v>34</v>
      </c>
      <c r="B7" s="8" t="s">
        <v>32</v>
      </c>
      <c r="C7" s="8" t="s">
        <v>35</v>
      </c>
      <c r="D7" s="9" t="s">
        <v>22</v>
      </c>
    </row>
    <row r="8" customFormat="false" ht="15" hidden="false" customHeight="false" outlineLevel="0" collapsed="false">
      <c r="A8" s="7" t="s">
        <v>36</v>
      </c>
      <c r="B8" s="8" t="s">
        <v>32</v>
      </c>
      <c r="C8" s="8" t="s">
        <v>37</v>
      </c>
      <c r="D8" s="9" t="s">
        <v>22</v>
      </c>
    </row>
    <row r="9" customFormat="false" ht="15" hidden="false" customHeight="false" outlineLevel="0" collapsed="false">
      <c r="A9" s="7" t="s">
        <v>38</v>
      </c>
      <c r="B9" s="8" t="s">
        <v>32</v>
      </c>
      <c r="C9" s="8" t="s">
        <v>39</v>
      </c>
      <c r="D9" s="10" t="s">
        <v>25</v>
      </c>
    </row>
    <row r="10" customFormat="false" ht="15" hidden="false" customHeight="false" outlineLevel="0" collapsed="false">
      <c r="A10" s="7" t="s">
        <v>40</v>
      </c>
      <c r="B10" s="8" t="s">
        <v>32</v>
      </c>
      <c r="C10" s="8" t="s">
        <v>41</v>
      </c>
      <c r="D10" s="10" t="s">
        <v>25</v>
      </c>
    </row>
    <row r="11" customFormat="false" ht="15" hidden="false" customHeight="false" outlineLevel="0" collapsed="false">
      <c r="A11" s="7" t="s">
        <v>42</v>
      </c>
      <c r="B11" s="8" t="s">
        <v>32</v>
      </c>
      <c r="C11" s="8" t="s">
        <v>43</v>
      </c>
      <c r="D11" s="10" t="s">
        <v>25</v>
      </c>
    </row>
    <row r="12" customFormat="false" ht="15" hidden="false" customHeight="false" outlineLevel="0" collapsed="false">
      <c r="A12" s="7" t="s">
        <v>44</v>
      </c>
      <c r="B12" s="8" t="s">
        <v>32</v>
      </c>
      <c r="C12" s="8" t="s">
        <v>45</v>
      </c>
      <c r="D12" s="10" t="s">
        <v>25</v>
      </c>
    </row>
    <row r="13" customFormat="false" ht="15" hidden="false" customHeight="false" outlineLevel="0" collapsed="false">
      <c r="A13" s="7" t="s">
        <v>46</v>
      </c>
      <c r="B13" s="8" t="s">
        <v>32</v>
      </c>
      <c r="C13" s="8" t="s">
        <v>47</v>
      </c>
      <c r="D13" s="11" t="s">
        <v>28</v>
      </c>
    </row>
    <row r="14" customFormat="false" ht="15" hidden="false" customHeight="false" outlineLevel="0" collapsed="false">
      <c r="A14" s="7" t="s">
        <v>48</v>
      </c>
      <c r="B14" s="8" t="s">
        <v>32</v>
      </c>
      <c r="C14" s="8" t="s">
        <v>49</v>
      </c>
      <c r="D14" s="9" t="s">
        <v>22</v>
      </c>
    </row>
    <row r="15" customFormat="false" ht="15" hidden="false" customHeight="false" outlineLevel="0" collapsed="false">
      <c r="A15" s="7" t="s">
        <v>50</v>
      </c>
      <c r="B15" s="8" t="s">
        <v>51</v>
      </c>
      <c r="C15" s="8" t="s">
        <v>52</v>
      </c>
      <c r="D15" s="9" t="s">
        <v>22</v>
      </c>
    </row>
    <row r="16" customFormat="false" ht="15" hidden="false" customHeight="false" outlineLevel="0" collapsed="false">
      <c r="A16" s="7" t="s">
        <v>53</v>
      </c>
      <c r="B16" s="8" t="s">
        <v>51</v>
      </c>
      <c r="C16" s="8" t="s">
        <v>54</v>
      </c>
      <c r="D16" s="9" t="s">
        <v>22</v>
      </c>
    </row>
    <row r="17" customFormat="false" ht="15" hidden="false" customHeight="false" outlineLevel="0" collapsed="false">
      <c r="A17" s="7" t="s">
        <v>55</v>
      </c>
      <c r="B17" s="8" t="s">
        <v>51</v>
      </c>
      <c r="C17" s="8" t="s">
        <v>56</v>
      </c>
      <c r="D17" s="9" t="s">
        <v>22</v>
      </c>
    </row>
    <row r="18" customFormat="false" ht="15" hidden="false" customHeight="false" outlineLevel="0" collapsed="false">
      <c r="A18" s="7" t="s">
        <v>57</v>
      </c>
      <c r="B18" s="8" t="s">
        <v>51</v>
      </c>
      <c r="C18" s="8" t="s">
        <v>58</v>
      </c>
      <c r="D18" s="9" t="s">
        <v>22</v>
      </c>
    </row>
    <row r="19" customFormat="false" ht="15" hidden="false" customHeight="false" outlineLevel="0" collapsed="false">
      <c r="A19" s="7" t="s">
        <v>59</v>
      </c>
      <c r="B19" s="8" t="s">
        <v>51</v>
      </c>
      <c r="C19" s="8" t="s">
        <v>60</v>
      </c>
      <c r="D19" s="9" t="s">
        <v>22</v>
      </c>
    </row>
    <row r="20" customFormat="false" ht="15" hidden="false" customHeight="false" outlineLevel="0" collapsed="false">
      <c r="A20" s="7" t="s">
        <v>61</v>
      </c>
      <c r="B20" s="8" t="s">
        <v>51</v>
      </c>
      <c r="C20" s="8" t="s">
        <v>62</v>
      </c>
      <c r="D20" s="10" t="s">
        <v>25</v>
      </c>
    </row>
    <row r="21" customFormat="false" ht="15" hidden="false" customHeight="false" outlineLevel="0" collapsed="false">
      <c r="A21" s="7" t="s">
        <v>63</v>
      </c>
      <c r="B21" s="8" t="s">
        <v>51</v>
      </c>
      <c r="C21" s="8" t="s">
        <v>64</v>
      </c>
      <c r="D21" s="10" t="s">
        <v>25</v>
      </c>
    </row>
    <row r="22" customFormat="false" ht="15" hidden="false" customHeight="false" outlineLevel="0" collapsed="false">
      <c r="A22" s="7" t="s">
        <v>65</v>
      </c>
      <c r="B22" s="8" t="s">
        <v>66</v>
      </c>
      <c r="C22" s="8" t="s">
        <v>67</v>
      </c>
      <c r="D22" s="9" t="s">
        <v>22</v>
      </c>
    </row>
    <row r="23" customFormat="false" ht="15" hidden="false" customHeight="false" outlineLevel="0" collapsed="false">
      <c r="A23" s="7" t="s">
        <v>68</v>
      </c>
      <c r="B23" s="8" t="s">
        <v>66</v>
      </c>
      <c r="C23" s="8" t="s">
        <v>69</v>
      </c>
      <c r="D23" s="9" t="s">
        <v>22</v>
      </c>
    </row>
    <row r="24" customFormat="false" ht="15" hidden="false" customHeight="false" outlineLevel="0" collapsed="false">
      <c r="A24" s="7" t="s">
        <v>70</v>
      </c>
      <c r="B24" s="8" t="s">
        <v>66</v>
      </c>
      <c r="C24" s="8" t="s">
        <v>71</v>
      </c>
      <c r="D24" s="9" t="s">
        <v>22</v>
      </c>
    </row>
    <row r="25" customFormat="false" ht="15" hidden="false" customHeight="false" outlineLevel="0" collapsed="false">
      <c r="A25" s="7" t="s">
        <v>72</v>
      </c>
      <c r="B25" s="8" t="s">
        <v>66</v>
      </c>
      <c r="C25" s="8" t="s">
        <v>64</v>
      </c>
      <c r="D25" s="10" t="s">
        <v>25</v>
      </c>
    </row>
    <row r="26" customFormat="false" ht="15" hidden="false" customHeight="false" outlineLevel="0" collapsed="false">
      <c r="A26" s="7" t="s">
        <v>73</v>
      </c>
      <c r="B26" s="8" t="s">
        <v>74</v>
      </c>
      <c r="C26" s="8" t="s">
        <v>75</v>
      </c>
      <c r="D26" s="9" t="s">
        <v>22</v>
      </c>
    </row>
    <row r="27" customFormat="false" ht="15" hidden="false" customHeight="false" outlineLevel="0" collapsed="false">
      <c r="A27" s="7" t="s">
        <v>76</v>
      </c>
      <c r="B27" s="8" t="s">
        <v>74</v>
      </c>
      <c r="C27" s="8" t="s">
        <v>77</v>
      </c>
      <c r="D27" s="9" t="s">
        <v>22</v>
      </c>
    </row>
    <row r="28" customFormat="false" ht="15" hidden="false" customHeight="false" outlineLevel="0" collapsed="false">
      <c r="A28" s="7" t="s">
        <v>78</v>
      </c>
      <c r="B28" s="8" t="s">
        <v>74</v>
      </c>
      <c r="C28" s="8" t="s">
        <v>79</v>
      </c>
      <c r="D28" s="10" t="s">
        <v>25</v>
      </c>
    </row>
    <row r="29" customFormat="false" ht="15" hidden="false" customHeight="false" outlineLevel="0" collapsed="false">
      <c r="A29" s="7" t="s">
        <v>80</v>
      </c>
      <c r="B29" s="8" t="s">
        <v>74</v>
      </c>
      <c r="C29" s="8" t="s">
        <v>81</v>
      </c>
      <c r="D29" s="10" t="s">
        <v>25</v>
      </c>
    </row>
    <row r="30" customFormat="false" ht="15" hidden="false" customHeight="false" outlineLevel="0" collapsed="false">
      <c r="A30" s="7" t="s">
        <v>82</v>
      </c>
      <c r="B30" s="8" t="s">
        <v>83</v>
      </c>
      <c r="C30" s="8" t="s">
        <v>84</v>
      </c>
      <c r="D30" s="9" t="s">
        <v>22</v>
      </c>
    </row>
    <row r="31" customFormat="false" ht="15" hidden="false" customHeight="false" outlineLevel="0" collapsed="false">
      <c r="A31" s="7" t="s">
        <v>85</v>
      </c>
      <c r="B31" s="8" t="s">
        <v>83</v>
      </c>
      <c r="C31" s="8" t="s">
        <v>86</v>
      </c>
      <c r="D31" s="9" t="s">
        <v>22</v>
      </c>
    </row>
    <row r="32" customFormat="false" ht="15" hidden="false" customHeight="false" outlineLevel="0" collapsed="false">
      <c r="A32" s="7" t="s">
        <v>87</v>
      </c>
      <c r="B32" s="8" t="s">
        <v>83</v>
      </c>
      <c r="C32" s="8" t="s">
        <v>88</v>
      </c>
      <c r="D32" s="11" t="s">
        <v>28</v>
      </c>
    </row>
    <row r="33" customFormat="false" ht="15" hidden="false" customHeight="false" outlineLevel="0" collapsed="false">
      <c r="A33" s="7" t="s">
        <v>89</v>
      </c>
      <c r="B33" s="8" t="s">
        <v>83</v>
      </c>
      <c r="C33" s="8" t="s">
        <v>90</v>
      </c>
      <c r="D33" s="9" t="s">
        <v>22</v>
      </c>
    </row>
    <row r="34" customFormat="false" ht="15" hidden="false" customHeight="false" outlineLevel="0" collapsed="false">
      <c r="A34" s="7" t="s">
        <v>91</v>
      </c>
      <c r="B34" s="8" t="s">
        <v>83</v>
      </c>
      <c r="C34" s="8" t="s">
        <v>92</v>
      </c>
      <c r="D34" s="9" t="s">
        <v>22</v>
      </c>
    </row>
    <row r="35" customFormat="false" ht="15" hidden="false" customHeight="false" outlineLevel="0" collapsed="false">
      <c r="A35" s="7" t="s">
        <v>93</v>
      </c>
      <c r="B35" s="8" t="s">
        <v>83</v>
      </c>
      <c r="C35" s="8" t="s">
        <v>94</v>
      </c>
      <c r="D35" s="9" t="s">
        <v>22</v>
      </c>
    </row>
    <row r="36" customFormat="false" ht="15" hidden="false" customHeight="false" outlineLevel="0" collapsed="false">
      <c r="A36" s="7" t="s">
        <v>95</v>
      </c>
      <c r="B36" s="8" t="s">
        <v>83</v>
      </c>
      <c r="C36" s="8" t="s">
        <v>96</v>
      </c>
      <c r="D36" s="10" t="s">
        <v>25</v>
      </c>
    </row>
    <row r="37" customFormat="false" ht="15" hidden="false" customHeight="false" outlineLevel="0" collapsed="false">
      <c r="A37" s="7" t="s">
        <v>97</v>
      </c>
      <c r="B37" s="8" t="s">
        <v>83</v>
      </c>
      <c r="C37" s="8" t="s">
        <v>98</v>
      </c>
      <c r="D37" s="11" t="s">
        <v>28</v>
      </c>
    </row>
    <row r="38" customFormat="false" ht="15" hidden="false" customHeight="false" outlineLevel="0" collapsed="false">
      <c r="A38" s="7" t="s">
        <v>99</v>
      </c>
      <c r="B38" s="8" t="s">
        <v>100</v>
      </c>
      <c r="C38" s="8" t="s">
        <v>101</v>
      </c>
      <c r="D38" s="9" t="s">
        <v>22</v>
      </c>
    </row>
    <row r="39" customFormat="false" ht="15" hidden="false" customHeight="false" outlineLevel="0" collapsed="false">
      <c r="A39" s="7" t="s">
        <v>102</v>
      </c>
      <c r="B39" s="8" t="s">
        <v>100</v>
      </c>
      <c r="C39" s="8" t="s">
        <v>103</v>
      </c>
      <c r="D39" s="9" t="s">
        <v>22</v>
      </c>
    </row>
    <row r="40" customFormat="false" ht="15" hidden="false" customHeight="false" outlineLevel="0" collapsed="false">
      <c r="A40" s="7" t="s">
        <v>104</v>
      </c>
      <c r="B40" s="8" t="s">
        <v>100</v>
      </c>
      <c r="C40" s="8" t="s">
        <v>105</v>
      </c>
      <c r="D40" s="10" t="s">
        <v>25</v>
      </c>
    </row>
    <row r="41" customFormat="false" ht="15" hidden="false" customHeight="false" outlineLevel="0" collapsed="false">
      <c r="A41" s="7" t="s">
        <v>106</v>
      </c>
      <c r="B41" s="8" t="s">
        <v>100</v>
      </c>
      <c r="C41" s="8" t="s">
        <v>107</v>
      </c>
      <c r="D41" s="9" t="s">
        <v>22</v>
      </c>
    </row>
    <row r="42" customFormat="false" ht="15" hidden="false" customHeight="false" outlineLevel="0" collapsed="false">
      <c r="A42" s="7" t="s">
        <v>108</v>
      </c>
      <c r="B42" s="8" t="s">
        <v>100</v>
      </c>
      <c r="C42" s="8" t="s">
        <v>109</v>
      </c>
      <c r="D42" s="9" t="s">
        <v>22</v>
      </c>
    </row>
    <row r="43" customFormat="false" ht="15" hidden="false" customHeight="false" outlineLevel="0" collapsed="false">
      <c r="A43" s="7" t="s">
        <v>110</v>
      </c>
      <c r="B43" s="8" t="s">
        <v>100</v>
      </c>
      <c r="C43" s="8" t="s">
        <v>111</v>
      </c>
      <c r="D43" s="9" t="s">
        <v>22</v>
      </c>
    </row>
    <row r="44" customFormat="false" ht="15" hidden="false" customHeight="false" outlineLevel="0" collapsed="false">
      <c r="A44" s="7" t="s">
        <v>112</v>
      </c>
      <c r="B44" s="8" t="s">
        <v>100</v>
      </c>
      <c r="C44" s="8" t="s">
        <v>113</v>
      </c>
      <c r="D44" s="11" t="s">
        <v>28</v>
      </c>
    </row>
    <row r="45" customFormat="false" ht="15" hidden="false" customHeight="false" outlineLevel="0" collapsed="false">
      <c r="A45" s="7" t="s">
        <v>114</v>
      </c>
      <c r="B45" s="8" t="s">
        <v>100</v>
      </c>
      <c r="C45" s="8" t="s">
        <v>115</v>
      </c>
      <c r="D45" s="10" t="s">
        <v>25</v>
      </c>
    </row>
    <row r="46" customFormat="false" ht="15" hidden="false" customHeight="false" outlineLevel="0" collapsed="false">
      <c r="A46" s="7" t="s">
        <v>116</v>
      </c>
      <c r="B46" s="8" t="s">
        <v>117</v>
      </c>
      <c r="C46" s="8" t="s">
        <v>118</v>
      </c>
      <c r="D46" s="9" t="s">
        <v>22</v>
      </c>
    </row>
    <row r="47" customFormat="false" ht="15" hidden="false" customHeight="false" outlineLevel="0" collapsed="false">
      <c r="A47" s="7" t="s">
        <v>119</v>
      </c>
      <c r="B47" s="8" t="s">
        <v>117</v>
      </c>
      <c r="C47" s="8" t="s">
        <v>120</v>
      </c>
      <c r="D47" s="10" t="s">
        <v>25</v>
      </c>
    </row>
    <row r="48" customFormat="false" ht="15" hidden="false" customHeight="false" outlineLevel="0" collapsed="false">
      <c r="A48" s="7" t="s">
        <v>121</v>
      </c>
      <c r="B48" s="8" t="s">
        <v>117</v>
      </c>
      <c r="C48" s="8" t="s">
        <v>122</v>
      </c>
      <c r="D48" s="11" t="s">
        <v>28</v>
      </c>
    </row>
    <row r="49" customFormat="false" ht="15" hidden="false" customHeight="false" outlineLevel="0" collapsed="false">
      <c r="A49" s="7" t="s">
        <v>123</v>
      </c>
      <c r="B49" s="8" t="s">
        <v>124</v>
      </c>
      <c r="C49" s="8" t="s">
        <v>125</v>
      </c>
      <c r="D49" s="9" t="s">
        <v>22</v>
      </c>
    </row>
    <row r="50" customFormat="false" ht="15" hidden="false" customHeight="false" outlineLevel="0" collapsed="false">
      <c r="A50" s="7" t="s">
        <v>126</v>
      </c>
      <c r="B50" s="8" t="s">
        <v>124</v>
      </c>
      <c r="C50" s="8" t="s">
        <v>127</v>
      </c>
      <c r="D50" s="9" t="s">
        <v>22</v>
      </c>
    </row>
    <row r="51" customFormat="false" ht="15" hidden="false" customHeight="false" outlineLevel="0" collapsed="false">
      <c r="A51" s="7" t="s">
        <v>128</v>
      </c>
      <c r="B51" s="8" t="s">
        <v>124</v>
      </c>
      <c r="C51" s="8" t="s">
        <v>129</v>
      </c>
      <c r="D51" s="9" t="s">
        <v>22</v>
      </c>
    </row>
    <row r="52" customFormat="false" ht="15" hidden="false" customHeight="false" outlineLevel="0" collapsed="false">
      <c r="A52" s="7" t="s">
        <v>130</v>
      </c>
      <c r="B52" s="8" t="s">
        <v>124</v>
      </c>
      <c r="C52" s="8" t="s">
        <v>131</v>
      </c>
      <c r="D52" s="10" t="s">
        <v>25</v>
      </c>
    </row>
    <row r="53" customFormat="false" ht="15" hidden="false" customHeight="false" outlineLevel="0" collapsed="false">
      <c r="A53" s="7" t="s">
        <v>132</v>
      </c>
      <c r="B53" s="8" t="s">
        <v>124</v>
      </c>
      <c r="C53" s="8" t="s">
        <v>133</v>
      </c>
      <c r="D53" s="11" t="s">
        <v>28</v>
      </c>
    </row>
    <row r="54" customFormat="false" ht="15" hidden="false" customHeight="false" outlineLevel="0" collapsed="false">
      <c r="A54" s="7" t="s">
        <v>134</v>
      </c>
      <c r="B54" s="8" t="s">
        <v>124</v>
      </c>
      <c r="C54" s="8" t="s">
        <v>135</v>
      </c>
      <c r="D54" s="10" t="s">
        <v>25</v>
      </c>
    </row>
    <row r="55" customFormat="false" ht="15" hidden="false" customHeight="false" outlineLevel="0" collapsed="false">
      <c r="A55" s="7" t="s">
        <v>136</v>
      </c>
      <c r="B55" s="8" t="s">
        <v>124</v>
      </c>
      <c r="C55" s="8" t="s">
        <v>137</v>
      </c>
      <c r="D55" s="11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4" min="4" style="0" width="26"/>
    <col collapsed="false" customWidth="true" hidden="false" outlineLevel="0" max="5" min="5" style="0" width="40"/>
    <col collapsed="false" customWidth="true" hidden="false" outlineLevel="0" max="6" min="6" style="0" width="42"/>
    <col collapsed="false" customWidth="true" hidden="false" outlineLevel="0" max="7" min="7" style="0" width="16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24"/>
  </cols>
  <sheetData>
    <row r="1" customFormat="false" ht="24" hidden="false" customHeight="true" outlineLevel="0" collapsed="false">
      <c r="A1" s="6" t="s">
        <v>138</v>
      </c>
      <c r="B1" s="6" t="s">
        <v>139</v>
      </c>
      <c r="C1" s="6" t="s">
        <v>140</v>
      </c>
      <c r="D1" s="6" t="s">
        <v>141</v>
      </c>
      <c r="E1" s="6" t="s">
        <v>142</v>
      </c>
      <c r="F1" s="6" t="s">
        <v>143</v>
      </c>
      <c r="G1" s="6" t="s">
        <v>144</v>
      </c>
      <c r="H1" s="6" t="s">
        <v>18</v>
      </c>
      <c r="I1" s="6" t="s">
        <v>145</v>
      </c>
      <c r="J1" s="6" t="s">
        <v>146</v>
      </c>
    </row>
    <row r="2" customFormat="false" ht="46.25" hidden="false" customHeight="false" outlineLevel="0" collapsed="false">
      <c r="A2" s="7" t="s">
        <v>147</v>
      </c>
      <c r="B2" s="8" t="s">
        <v>19</v>
      </c>
      <c r="C2" s="7" t="s">
        <v>148</v>
      </c>
      <c r="D2" s="8" t="s">
        <v>149</v>
      </c>
      <c r="E2" s="8" t="s">
        <v>150</v>
      </c>
      <c r="F2" s="8" t="s">
        <v>151</v>
      </c>
      <c r="G2" s="8" t="s">
        <v>152</v>
      </c>
      <c r="H2" s="12" t="s">
        <v>22</v>
      </c>
      <c r="I2" s="13" t="s">
        <v>153</v>
      </c>
      <c r="J2" s="8"/>
    </row>
    <row r="3" customFormat="false" ht="23.85" hidden="false" customHeight="false" outlineLevel="0" collapsed="false">
      <c r="A3" s="7" t="s">
        <v>154</v>
      </c>
      <c r="B3" s="8" t="s">
        <v>23</v>
      </c>
      <c r="C3" s="7" t="s">
        <v>155</v>
      </c>
      <c r="D3" s="8" t="s">
        <v>156</v>
      </c>
      <c r="E3" s="8" t="s">
        <v>157</v>
      </c>
      <c r="F3" s="8" t="s">
        <v>158</v>
      </c>
      <c r="G3" s="8" t="s">
        <v>152</v>
      </c>
      <c r="H3" s="14" t="s">
        <v>25</v>
      </c>
      <c r="I3" s="13" t="s">
        <v>153</v>
      </c>
      <c r="J3" s="8"/>
    </row>
    <row r="4" customFormat="false" ht="23.85" hidden="false" customHeight="false" outlineLevel="0" collapsed="false">
      <c r="A4" s="7" t="s">
        <v>159</v>
      </c>
      <c r="B4" s="8" t="s">
        <v>26</v>
      </c>
      <c r="C4" s="7" t="s">
        <v>160</v>
      </c>
      <c r="D4" s="8" t="s">
        <v>161</v>
      </c>
      <c r="E4" s="8" t="s">
        <v>162</v>
      </c>
      <c r="F4" s="8" t="s">
        <v>163</v>
      </c>
      <c r="G4" s="8" t="s">
        <v>164</v>
      </c>
      <c r="H4" s="15" t="s">
        <v>28</v>
      </c>
      <c r="I4" s="13" t="s">
        <v>153</v>
      </c>
      <c r="J4" s="8"/>
    </row>
    <row r="5" customFormat="false" ht="23.85" hidden="false" customHeight="false" outlineLevel="0" collapsed="false">
      <c r="A5" s="7" t="s">
        <v>165</v>
      </c>
      <c r="B5" s="8" t="s">
        <v>29</v>
      </c>
      <c r="C5" s="7" t="s">
        <v>166</v>
      </c>
      <c r="D5" s="8" t="s">
        <v>149</v>
      </c>
      <c r="E5" s="8" t="s">
        <v>167</v>
      </c>
      <c r="F5" s="8" t="s">
        <v>168</v>
      </c>
      <c r="G5" s="8" t="s">
        <v>164</v>
      </c>
      <c r="H5" s="15" t="s">
        <v>28</v>
      </c>
      <c r="I5" s="13" t="s">
        <v>153</v>
      </c>
      <c r="J5" s="8"/>
    </row>
    <row r="6" customFormat="false" ht="23.85" hidden="false" customHeight="false" outlineLevel="0" collapsed="false">
      <c r="A6" s="7" t="s">
        <v>169</v>
      </c>
      <c r="B6" s="8" t="s">
        <v>31</v>
      </c>
      <c r="C6" s="7" t="s">
        <v>170</v>
      </c>
      <c r="D6" s="8" t="s">
        <v>149</v>
      </c>
      <c r="E6" s="8" t="s">
        <v>171</v>
      </c>
      <c r="F6" s="8" t="s">
        <v>172</v>
      </c>
      <c r="G6" s="8" t="s">
        <v>152</v>
      </c>
      <c r="H6" s="12" t="s">
        <v>22</v>
      </c>
      <c r="I6" s="13" t="s">
        <v>153</v>
      </c>
      <c r="J6" s="8"/>
    </row>
    <row r="7" customFormat="false" ht="23.85" hidden="false" customHeight="false" outlineLevel="0" collapsed="false">
      <c r="A7" s="7" t="s">
        <v>173</v>
      </c>
      <c r="B7" s="8" t="s">
        <v>34</v>
      </c>
      <c r="C7" s="7" t="s">
        <v>174</v>
      </c>
      <c r="D7" s="8" t="s">
        <v>175</v>
      </c>
      <c r="E7" s="8" t="s">
        <v>176</v>
      </c>
      <c r="F7" s="8" t="s">
        <v>177</v>
      </c>
      <c r="G7" s="8" t="s">
        <v>152</v>
      </c>
      <c r="H7" s="12" t="s">
        <v>22</v>
      </c>
      <c r="I7" s="13" t="s">
        <v>153</v>
      </c>
      <c r="J7" s="8"/>
    </row>
    <row r="8" customFormat="false" ht="23.85" hidden="false" customHeight="false" outlineLevel="0" collapsed="false">
      <c r="A8" s="7" t="s">
        <v>178</v>
      </c>
      <c r="B8" s="8" t="s">
        <v>34</v>
      </c>
      <c r="C8" s="7" t="s">
        <v>179</v>
      </c>
      <c r="D8" s="8" t="s">
        <v>175</v>
      </c>
      <c r="E8" s="8" t="s">
        <v>180</v>
      </c>
      <c r="F8" s="8" t="s">
        <v>181</v>
      </c>
      <c r="G8" s="8" t="s">
        <v>152</v>
      </c>
      <c r="H8" s="12" t="s">
        <v>22</v>
      </c>
      <c r="I8" s="13" t="s">
        <v>153</v>
      </c>
      <c r="J8" s="8"/>
    </row>
    <row r="9" customFormat="false" ht="23.85" hidden="false" customHeight="false" outlineLevel="0" collapsed="false">
      <c r="A9" s="7" t="s">
        <v>182</v>
      </c>
      <c r="B9" s="8" t="s">
        <v>36</v>
      </c>
      <c r="C9" s="7" t="s">
        <v>183</v>
      </c>
      <c r="D9" s="8" t="s">
        <v>184</v>
      </c>
      <c r="E9" s="8" t="s">
        <v>185</v>
      </c>
      <c r="F9" s="8" t="s">
        <v>186</v>
      </c>
      <c r="G9" s="8" t="s">
        <v>152</v>
      </c>
      <c r="H9" s="12" t="s">
        <v>22</v>
      </c>
      <c r="I9" s="13" t="s">
        <v>153</v>
      </c>
      <c r="J9" s="8"/>
    </row>
    <row r="10" customFormat="false" ht="35.05" hidden="false" customHeight="false" outlineLevel="0" collapsed="false">
      <c r="A10" s="7" t="s">
        <v>187</v>
      </c>
      <c r="B10" s="8" t="s">
        <v>38</v>
      </c>
      <c r="C10" s="7" t="s">
        <v>188</v>
      </c>
      <c r="D10" s="8" t="s">
        <v>189</v>
      </c>
      <c r="E10" s="8" t="s">
        <v>190</v>
      </c>
      <c r="F10" s="8" t="s">
        <v>191</v>
      </c>
      <c r="G10" s="8" t="s">
        <v>152</v>
      </c>
      <c r="H10" s="14" t="s">
        <v>25</v>
      </c>
      <c r="I10" s="13" t="s">
        <v>153</v>
      </c>
      <c r="J10" s="8"/>
    </row>
    <row r="11" customFormat="false" ht="23.85" hidden="false" customHeight="false" outlineLevel="0" collapsed="false">
      <c r="A11" s="7" t="s">
        <v>192</v>
      </c>
      <c r="B11" s="8" t="s">
        <v>40</v>
      </c>
      <c r="C11" s="7" t="s">
        <v>193</v>
      </c>
      <c r="D11" s="8" t="s">
        <v>194</v>
      </c>
      <c r="E11" s="8" t="s">
        <v>195</v>
      </c>
      <c r="F11" s="8" t="s">
        <v>196</v>
      </c>
      <c r="G11" s="8" t="s">
        <v>152</v>
      </c>
      <c r="H11" s="14" t="s">
        <v>25</v>
      </c>
      <c r="I11" s="13" t="s">
        <v>153</v>
      </c>
      <c r="J11" s="8"/>
    </row>
    <row r="12" customFormat="false" ht="23.85" hidden="false" customHeight="false" outlineLevel="0" collapsed="false">
      <c r="A12" s="7" t="s">
        <v>197</v>
      </c>
      <c r="B12" s="8" t="s">
        <v>42</v>
      </c>
      <c r="C12" s="7" t="s">
        <v>198</v>
      </c>
      <c r="D12" s="8" t="s">
        <v>199</v>
      </c>
      <c r="E12" s="8" t="s">
        <v>200</v>
      </c>
      <c r="F12" s="8" t="s">
        <v>201</v>
      </c>
      <c r="G12" s="8" t="s">
        <v>152</v>
      </c>
      <c r="H12" s="14" t="s">
        <v>25</v>
      </c>
      <c r="I12" s="13" t="s">
        <v>153</v>
      </c>
      <c r="J12" s="8"/>
    </row>
    <row r="13" customFormat="false" ht="23.85" hidden="false" customHeight="false" outlineLevel="0" collapsed="false">
      <c r="A13" s="7" t="s">
        <v>202</v>
      </c>
      <c r="B13" s="8" t="s">
        <v>44</v>
      </c>
      <c r="C13" s="7" t="s">
        <v>203</v>
      </c>
      <c r="D13" s="8" t="s">
        <v>204</v>
      </c>
      <c r="E13" s="8" t="s">
        <v>205</v>
      </c>
      <c r="F13" s="8" t="s">
        <v>206</v>
      </c>
      <c r="G13" s="8" t="s">
        <v>152</v>
      </c>
      <c r="H13" s="14" t="s">
        <v>25</v>
      </c>
      <c r="I13" s="13" t="s">
        <v>153</v>
      </c>
      <c r="J13" s="8"/>
    </row>
    <row r="14" customFormat="false" ht="23.85" hidden="false" customHeight="false" outlineLevel="0" collapsed="false">
      <c r="A14" s="7" t="s">
        <v>207</v>
      </c>
      <c r="B14" s="8" t="s">
        <v>46</v>
      </c>
      <c r="C14" s="7" t="s">
        <v>208</v>
      </c>
      <c r="D14" s="8" t="s">
        <v>209</v>
      </c>
      <c r="E14" s="8" t="s">
        <v>210</v>
      </c>
      <c r="F14" s="8" t="s">
        <v>211</v>
      </c>
      <c r="G14" s="8" t="s">
        <v>164</v>
      </c>
      <c r="H14" s="15" t="s">
        <v>28</v>
      </c>
      <c r="I14" s="13" t="s">
        <v>153</v>
      </c>
      <c r="J14" s="8"/>
    </row>
    <row r="15" customFormat="false" ht="46.25" hidden="false" customHeight="false" outlineLevel="0" collapsed="false">
      <c r="A15" s="7" t="s">
        <v>212</v>
      </c>
      <c r="B15" s="8" t="s">
        <v>48</v>
      </c>
      <c r="C15" s="7" t="s">
        <v>213</v>
      </c>
      <c r="D15" s="8" t="s">
        <v>214</v>
      </c>
      <c r="E15" s="8" t="s">
        <v>215</v>
      </c>
      <c r="F15" s="8" t="s">
        <v>216</v>
      </c>
      <c r="G15" s="8" t="s">
        <v>152</v>
      </c>
      <c r="H15" s="12" t="s">
        <v>22</v>
      </c>
      <c r="I15" s="13" t="s">
        <v>153</v>
      </c>
      <c r="J15" s="8"/>
    </row>
    <row r="16" customFormat="false" ht="23.85" hidden="false" customHeight="false" outlineLevel="0" collapsed="false">
      <c r="A16" s="7" t="s">
        <v>217</v>
      </c>
      <c r="B16" s="8" t="s">
        <v>50</v>
      </c>
      <c r="C16" s="7" t="s">
        <v>218</v>
      </c>
      <c r="D16" s="8" t="s">
        <v>149</v>
      </c>
      <c r="E16" s="8" t="s">
        <v>219</v>
      </c>
      <c r="F16" s="8" t="s">
        <v>220</v>
      </c>
      <c r="G16" s="8" t="s">
        <v>164</v>
      </c>
      <c r="H16" s="12" t="s">
        <v>22</v>
      </c>
      <c r="I16" s="13" t="s">
        <v>153</v>
      </c>
      <c r="J16" s="8"/>
    </row>
    <row r="17" customFormat="false" ht="35.05" hidden="false" customHeight="false" outlineLevel="0" collapsed="false">
      <c r="A17" s="7" t="s">
        <v>221</v>
      </c>
      <c r="B17" s="8" t="s">
        <v>53</v>
      </c>
      <c r="C17" s="7" t="s">
        <v>222</v>
      </c>
      <c r="D17" s="8" t="s">
        <v>223</v>
      </c>
      <c r="E17" s="8" t="s">
        <v>224</v>
      </c>
      <c r="F17" s="8" t="s">
        <v>225</v>
      </c>
      <c r="G17" s="8" t="s">
        <v>226</v>
      </c>
      <c r="H17" s="12" t="s">
        <v>22</v>
      </c>
      <c r="I17" s="13" t="s">
        <v>153</v>
      </c>
      <c r="J17" s="8"/>
    </row>
    <row r="18" customFormat="false" ht="35.05" hidden="false" customHeight="false" outlineLevel="0" collapsed="false">
      <c r="A18" s="7" t="s">
        <v>227</v>
      </c>
      <c r="B18" s="8" t="s">
        <v>55</v>
      </c>
      <c r="C18" s="7" t="s">
        <v>228</v>
      </c>
      <c r="D18" s="8" t="s">
        <v>223</v>
      </c>
      <c r="E18" s="8" t="s">
        <v>229</v>
      </c>
      <c r="F18" s="8" t="s">
        <v>230</v>
      </c>
      <c r="G18" s="8" t="s">
        <v>226</v>
      </c>
      <c r="H18" s="12" t="s">
        <v>22</v>
      </c>
      <c r="I18" s="13" t="s">
        <v>153</v>
      </c>
      <c r="J18" s="8"/>
    </row>
    <row r="19" customFormat="false" ht="35.05" hidden="false" customHeight="false" outlineLevel="0" collapsed="false">
      <c r="A19" s="7" t="s">
        <v>231</v>
      </c>
      <c r="B19" s="8" t="s">
        <v>57</v>
      </c>
      <c r="C19" s="7" t="s">
        <v>232</v>
      </c>
      <c r="D19" s="8" t="s">
        <v>233</v>
      </c>
      <c r="E19" s="8" t="s">
        <v>234</v>
      </c>
      <c r="F19" s="8" t="s">
        <v>235</v>
      </c>
      <c r="G19" s="8" t="s">
        <v>226</v>
      </c>
      <c r="H19" s="12" t="s">
        <v>22</v>
      </c>
      <c r="I19" s="13" t="s">
        <v>153</v>
      </c>
      <c r="J19" s="8"/>
    </row>
    <row r="20" customFormat="false" ht="35.05" hidden="false" customHeight="false" outlineLevel="0" collapsed="false">
      <c r="A20" s="7" t="s">
        <v>236</v>
      </c>
      <c r="B20" s="8" t="s">
        <v>237</v>
      </c>
      <c r="C20" s="7" t="s">
        <v>238</v>
      </c>
      <c r="D20" s="8" t="s">
        <v>239</v>
      </c>
      <c r="E20" s="8" t="s">
        <v>240</v>
      </c>
      <c r="F20" s="8" t="s">
        <v>241</v>
      </c>
      <c r="G20" s="8" t="s">
        <v>152</v>
      </c>
      <c r="H20" s="12" t="s">
        <v>22</v>
      </c>
      <c r="I20" s="13" t="s">
        <v>153</v>
      </c>
      <c r="J20" s="8"/>
    </row>
    <row r="21" customFormat="false" ht="23.85" hidden="false" customHeight="false" outlineLevel="0" collapsed="false">
      <c r="A21" s="7" t="s">
        <v>242</v>
      </c>
      <c r="B21" s="8" t="s">
        <v>63</v>
      </c>
      <c r="C21" s="7" t="s">
        <v>243</v>
      </c>
      <c r="D21" s="8" t="s">
        <v>223</v>
      </c>
      <c r="E21" s="8" t="s">
        <v>244</v>
      </c>
      <c r="F21" s="8" t="s">
        <v>245</v>
      </c>
      <c r="G21" s="8" t="s">
        <v>226</v>
      </c>
      <c r="H21" s="14" t="s">
        <v>25</v>
      </c>
      <c r="I21" s="13" t="s">
        <v>153</v>
      </c>
      <c r="J21" s="8"/>
    </row>
    <row r="22" customFormat="false" ht="23.85" hidden="false" customHeight="false" outlineLevel="0" collapsed="false">
      <c r="A22" s="7" t="s">
        <v>246</v>
      </c>
      <c r="B22" s="8" t="s">
        <v>65</v>
      </c>
      <c r="C22" s="7" t="s">
        <v>247</v>
      </c>
      <c r="D22" s="8" t="s">
        <v>149</v>
      </c>
      <c r="E22" s="8" t="s">
        <v>248</v>
      </c>
      <c r="F22" s="8" t="s">
        <v>249</v>
      </c>
      <c r="G22" s="8" t="s">
        <v>164</v>
      </c>
      <c r="H22" s="12" t="s">
        <v>22</v>
      </c>
      <c r="I22" s="13" t="s">
        <v>153</v>
      </c>
      <c r="J22" s="8"/>
    </row>
    <row r="23" customFormat="false" ht="23.85" hidden="false" customHeight="false" outlineLevel="0" collapsed="false">
      <c r="A23" s="7" t="s">
        <v>250</v>
      </c>
      <c r="B23" s="8" t="s">
        <v>68</v>
      </c>
      <c r="C23" s="7" t="s">
        <v>251</v>
      </c>
      <c r="D23" s="8" t="s">
        <v>252</v>
      </c>
      <c r="E23" s="8" t="s">
        <v>253</v>
      </c>
      <c r="F23" s="8" t="s">
        <v>254</v>
      </c>
      <c r="G23" s="8" t="s">
        <v>226</v>
      </c>
      <c r="H23" s="12" t="s">
        <v>22</v>
      </c>
      <c r="I23" s="13" t="s">
        <v>153</v>
      </c>
      <c r="J23" s="8"/>
    </row>
    <row r="24" customFormat="false" ht="23.85" hidden="false" customHeight="false" outlineLevel="0" collapsed="false">
      <c r="A24" s="7" t="s">
        <v>255</v>
      </c>
      <c r="B24" s="8" t="s">
        <v>70</v>
      </c>
      <c r="C24" s="7" t="s">
        <v>256</v>
      </c>
      <c r="D24" s="8" t="s">
        <v>257</v>
      </c>
      <c r="E24" s="8" t="s">
        <v>258</v>
      </c>
      <c r="F24" s="8" t="s">
        <v>259</v>
      </c>
      <c r="G24" s="8" t="s">
        <v>152</v>
      </c>
      <c r="H24" s="12" t="s">
        <v>22</v>
      </c>
      <c r="I24" s="13" t="s">
        <v>153</v>
      </c>
      <c r="J24" s="8"/>
    </row>
    <row r="25" customFormat="false" ht="23.85" hidden="false" customHeight="false" outlineLevel="0" collapsed="false">
      <c r="A25" s="7" t="s">
        <v>260</v>
      </c>
      <c r="B25" s="8" t="s">
        <v>72</v>
      </c>
      <c r="C25" s="7" t="s">
        <v>261</v>
      </c>
      <c r="D25" s="8" t="s">
        <v>262</v>
      </c>
      <c r="E25" s="8" t="s">
        <v>263</v>
      </c>
      <c r="F25" s="8" t="s">
        <v>264</v>
      </c>
      <c r="G25" s="8" t="s">
        <v>226</v>
      </c>
      <c r="H25" s="14" t="s">
        <v>25</v>
      </c>
      <c r="I25" s="13" t="s">
        <v>153</v>
      </c>
      <c r="J25" s="8"/>
    </row>
    <row r="26" customFormat="false" ht="23.85" hidden="false" customHeight="false" outlineLevel="0" collapsed="false">
      <c r="A26" s="7" t="s">
        <v>265</v>
      </c>
      <c r="B26" s="8" t="s">
        <v>73</v>
      </c>
      <c r="C26" s="7" t="s">
        <v>266</v>
      </c>
      <c r="D26" s="8" t="s">
        <v>267</v>
      </c>
      <c r="E26" s="8" t="s">
        <v>268</v>
      </c>
      <c r="F26" s="8" t="s">
        <v>269</v>
      </c>
      <c r="G26" s="8" t="s">
        <v>152</v>
      </c>
      <c r="H26" s="12" t="s">
        <v>22</v>
      </c>
      <c r="I26" s="13" t="s">
        <v>153</v>
      </c>
      <c r="J26" s="8"/>
    </row>
    <row r="27" customFormat="false" ht="23.85" hidden="false" customHeight="false" outlineLevel="0" collapsed="false">
      <c r="A27" s="7" t="s">
        <v>270</v>
      </c>
      <c r="B27" s="8" t="s">
        <v>76</v>
      </c>
      <c r="C27" s="7" t="s">
        <v>271</v>
      </c>
      <c r="D27" s="8" t="s">
        <v>272</v>
      </c>
      <c r="E27" s="8" t="s">
        <v>273</v>
      </c>
      <c r="F27" s="8" t="s">
        <v>274</v>
      </c>
      <c r="G27" s="8" t="s">
        <v>152</v>
      </c>
      <c r="H27" s="12" t="s">
        <v>22</v>
      </c>
      <c r="I27" s="13" t="s">
        <v>153</v>
      </c>
      <c r="J27" s="8"/>
    </row>
    <row r="28" customFormat="false" ht="23.85" hidden="false" customHeight="false" outlineLevel="0" collapsed="false">
      <c r="A28" s="7" t="s">
        <v>275</v>
      </c>
      <c r="B28" s="8" t="s">
        <v>78</v>
      </c>
      <c r="C28" s="7" t="s">
        <v>276</v>
      </c>
      <c r="D28" s="8" t="s">
        <v>277</v>
      </c>
      <c r="E28" s="8" t="s">
        <v>278</v>
      </c>
      <c r="F28" s="8" t="s">
        <v>279</v>
      </c>
      <c r="G28" s="8" t="s">
        <v>152</v>
      </c>
      <c r="H28" s="14" t="s">
        <v>25</v>
      </c>
      <c r="I28" s="13" t="s">
        <v>153</v>
      </c>
      <c r="J28" s="8"/>
    </row>
    <row r="29" customFormat="false" ht="23.85" hidden="false" customHeight="false" outlineLevel="0" collapsed="false">
      <c r="A29" s="7" t="s">
        <v>280</v>
      </c>
      <c r="B29" s="8" t="s">
        <v>80</v>
      </c>
      <c r="C29" s="7" t="s">
        <v>281</v>
      </c>
      <c r="D29" s="8" t="s">
        <v>282</v>
      </c>
      <c r="E29" s="8" t="s">
        <v>283</v>
      </c>
      <c r="F29" s="8" t="s">
        <v>284</v>
      </c>
      <c r="G29" s="8" t="s">
        <v>152</v>
      </c>
      <c r="H29" s="14" t="s">
        <v>25</v>
      </c>
      <c r="I29" s="13" t="s">
        <v>153</v>
      </c>
      <c r="J29" s="8"/>
    </row>
    <row r="30" customFormat="false" ht="23.85" hidden="false" customHeight="false" outlineLevel="0" collapsed="false">
      <c r="A30" s="7" t="s">
        <v>285</v>
      </c>
      <c r="B30" s="8" t="s">
        <v>82</v>
      </c>
      <c r="C30" s="7" t="s">
        <v>286</v>
      </c>
      <c r="D30" s="8" t="s">
        <v>149</v>
      </c>
      <c r="E30" s="8" t="s">
        <v>287</v>
      </c>
      <c r="F30" s="8" t="s">
        <v>288</v>
      </c>
      <c r="G30" s="8" t="s">
        <v>152</v>
      </c>
      <c r="H30" s="12" t="s">
        <v>22</v>
      </c>
      <c r="I30" s="13" t="s">
        <v>153</v>
      </c>
      <c r="J30" s="8"/>
    </row>
    <row r="31" customFormat="false" ht="23.85" hidden="false" customHeight="false" outlineLevel="0" collapsed="false">
      <c r="A31" s="7" t="s">
        <v>289</v>
      </c>
      <c r="B31" s="8" t="s">
        <v>85</v>
      </c>
      <c r="C31" s="7" t="s">
        <v>290</v>
      </c>
      <c r="D31" s="8" t="s">
        <v>161</v>
      </c>
      <c r="E31" s="8" t="s">
        <v>291</v>
      </c>
      <c r="F31" s="8" t="s">
        <v>292</v>
      </c>
      <c r="G31" s="8" t="s">
        <v>152</v>
      </c>
      <c r="H31" s="12" t="s">
        <v>22</v>
      </c>
      <c r="I31" s="13" t="s">
        <v>153</v>
      </c>
      <c r="J31" s="8"/>
    </row>
    <row r="32" customFormat="false" ht="15" hidden="false" customHeight="false" outlineLevel="0" collapsed="false">
      <c r="A32" s="7" t="s">
        <v>293</v>
      </c>
      <c r="B32" s="8" t="s">
        <v>87</v>
      </c>
      <c r="C32" s="7" t="s">
        <v>294</v>
      </c>
      <c r="D32" s="8" t="s">
        <v>161</v>
      </c>
      <c r="E32" s="8" t="s">
        <v>295</v>
      </c>
      <c r="F32" s="8" t="s">
        <v>296</v>
      </c>
      <c r="G32" s="8" t="s">
        <v>164</v>
      </c>
      <c r="H32" s="15" t="s">
        <v>28</v>
      </c>
      <c r="I32" s="13" t="s">
        <v>153</v>
      </c>
      <c r="J32" s="8"/>
    </row>
    <row r="33" customFormat="false" ht="23.85" hidden="false" customHeight="false" outlineLevel="0" collapsed="false">
      <c r="A33" s="7" t="s">
        <v>297</v>
      </c>
      <c r="B33" s="8" t="s">
        <v>89</v>
      </c>
      <c r="C33" s="7" t="s">
        <v>298</v>
      </c>
      <c r="D33" s="8" t="s">
        <v>161</v>
      </c>
      <c r="E33" s="8" t="s">
        <v>299</v>
      </c>
      <c r="F33" s="8" t="s">
        <v>300</v>
      </c>
      <c r="G33" s="8" t="s">
        <v>152</v>
      </c>
      <c r="H33" s="12" t="s">
        <v>22</v>
      </c>
      <c r="I33" s="13" t="s">
        <v>153</v>
      </c>
      <c r="J33" s="8"/>
    </row>
    <row r="34" customFormat="false" ht="23.85" hidden="false" customHeight="false" outlineLevel="0" collapsed="false">
      <c r="A34" s="7" t="s">
        <v>301</v>
      </c>
      <c r="B34" s="8" t="s">
        <v>91</v>
      </c>
      <c r="C34" s="7" t="s">
        <v>302</v>
      </c>
      <c r="D34" s="8" t="s">
        <v>303</v>
      </c>
      <c r="E34" s="8" t="s">
        <v>304</v>
      </c>
      <c r="F34" s="8" t="s">
        <v>305</v>
      </c>
      <c r="G34" s="8" t="s">
        <v>152</v>
      </c>
      <c r="H34" s="12" t="s">
        <v>22</v>
      </c>
      <c r="I34" s="13" t="s">
        <v>153</v>
      </c>
      <c r="J34" s="8"/>
    </row>
    <row r="35" customFormat="false" ht="23.85" hidden="false" customHeight="false" outlineLevel="0" collapsed="false">
      <c r="A35" s="7" t="s">
        <v>306</v>
      </c>
      <c r="B35" s="8" t="s">
        <v>91</v>
      </c>
      <c r="C35" s="7" t="s">
        <v>307</v>
      </c>
      <c r="D35" s="8" t="s">
        <v>308</v>
      </c>
      <c r="E35" s="8" t="s">
        <v>309</v>
      </c>
      <c r="F35" s="8" t="s">
        <v>310</v>
      </c>
      <c r="G35" s="8" t="s">
        <v>152</v>
      </c>
      <c r="H35" s="12" t="s">
        <v>22</v>
      </c>
      <c r="I35" s="13" t="s">
        <v>153</v>
      </c>
      <c r="J35" s="8"/>
    </row>
    <row r="36" customFormat="false" ht="23.85" hidden="false" customHeight="false" outlineLevel="0" collapsed="false">
      <c r="A36" s="7" t="s">
        <v>311</v>
      </c>
      <c r="B36" s="8" t="s">
        <v>93</v>
      </c>
      <c r="C36" s="7" t="s">
        <v>312</v>
      </c>
      <c r="D36" s="8" t="s">
        <v>214</v>
      </c>
      <c r="E36" s="8" t="s">
        <v>313</v>
      </c>
      <c r="F36" s="8" t="s">
        <v>314</v>
      </c>
      <c r="G36" s="8" t="s">
        <v>152</v>
      </c>
      <c r="H36" s="12" t="s">
        <v>22</v>
      </c>
      <c r="I36" s="13" t="s">
        <v>153</v>
      </c>
      <c r="J36" s="8"/>
    </row>
    <row r="37" customFormat="false" ht="15" hidden="false" customHeight="false" outlineLevel="0" collapsed="false">
      <c r="A37" s="7" t="s">
        <v>315</v>
      </c>
      <c r="B37" s="8" t="s">
        <v>95</v>
      </c>
      <c r="C37" s="7" t="s">
        <v>316</v>
      </c>
      <c r="D37" s="8" t="s">
        <v>214</v>
      </c>
      <c r="E37" s="8" t="s">
        <v>317</v>
      </c>
      <c r="F37" s="8" t="s">
        <v>318</v>
      </c>
      <c r="G37" s="8" t="s">
        <v>152</v>
      </c>
      <c r="H37" s="14" t="s">
        <v>25</v>
      </c>
      <c r="I37" s="13" t="s">
        <v>153</v>
      </c>
      <c r="J37" s="8"/>
    </row>
    <row r="38" customFormat="false" ht="23.85" hidden="false" customHeight="false" outlineLevel="0" collapsed="false">
      <c r="A38" s="7" t="s">
        <v>319</v>
      </c>
      <c r="B38" s="8" t="s">
        <v>97</v>
      </c>
      <c r="C38" s="7" t="s">
        <v>320</v>
      </c>
      <c r="D38" s="8" t="s">
        <v>161</v>
      </c>
      <c r="E38" s="8" t="s">
        <v>321</v>
      </c>
      <c r="F38" s="8" t="s">
        <v>322</v>
      </c>
      <c r="G38" s="8" t="s">
        <v>164</v>
      </c>
      <c r="H38" s="15" t="s">
        <v>28</v>
      </c>
      <c r="I38" s="13" t="s">
        <v>153</v>
      </c>
      <c r="J38" s="8"/>
    </row>
    <row r="39" customFormat="false" ht="23.85" hidden="false" customHeight="false" outlineLevel="0" collapsed="false">
      <c r="A39" s="7" t="s">
        <v>323</v>
      </c>
      <c r="B39" s="8" t="s">
        <v>99</v>
      </c>
      <c r="C39" s="7" t="s">
        <v>324</v>
      </c>
      <c r="D39" s="8" t="s">
        <v>325</v>
      </c>
      <c r="E39" s="8" t="s">
        <v>326</v>
      </c>
      <c r="F39" s="8" t="s">
        <v>327</v>
      </c>
      <c r="G39" s="8" t="s">
        <v>152</v>
      </c>
      <c r="H39" s="12" t="s">
        <v>22</v>
      </c>
      <c r="I39" s="13" t="s">
        <v>153</v>
      </c>
      <c r="J39" s="8"/>
    </row>
    <row r="40" customFormat="false" ht="23.85" hidden="false" customHeight="false" outlineLevel="0" collapsed="false">
      <c r="A40" s="7" t="s">
        <v>328</v>
      </c>
      <c r="B40" s="8" t="s">
        <v>102</v>
      </c>
      <c r="C40" s="7" t="s">
        <v>329</v>
      </c>
      <c r="D40" s="8" t="s">
        <v>330</v>
      </c>
      <c r="E40" s="8" t="s">
        <v>331</v>
      </c>
      <c r="F40" s="8" t="s">
        <v>332</v>
      </c>
      <c r="G40" s="8" t="s">
        <v>152</v>
      </c>
      <c r="H40" s="12" t="s">
        <v>22</v>
      </c>
      <c r="I40" s="13" t="s">
        <v>153</v>
      </c>
      <c r="J40" s="8"/>
    </row>
    <row r="41" customFormat="false" ht="23.85" hidden="false" customHeight="false" outlineLevel="0" collapsed="false">
      <c r="A41" s="7" t="s">
        <v>333</v>
      </c>
      <c r="B41" s="8" t="s">
        <v>104</v>
      </c>
      <c r="C41" s="7" t="s">
        <v>334</v>
      </c>
      <c r="D41" s="8" t="s">
        <v>335</v>
      </c>
      <c r="E41" s="8" t="s">
        <v>336</v>
      </c>
      <c r="F41" s="8" t="s">
        <v>337</v>
      </c>
      <c r="G41" s="8" t="s">
        <v>164</v>
      </c>
      <c r="H41" s="14" t="s">
        <v>25</v>
      </c>
      <c r="I41" s="13" t="s">
        <v>153</v>
      </c>
      <c r="J41" s="8"/>
    </row>
    <row r="42" customFormat="false" ht="23.85" hidden="false" customHeight="false" outlineLevel="0" collapsed="false">
      <c r="A42" s="7" t="s">
        <v>338</v>
      </c>
      <c r="B42" s="8" t="s">
        <v>106</v>
      </c>
      <c r="C42" s="7" t="s">
        <v>339</v>
      </c>
      <c r="D42" s="8" t="s">
        <v>340</v>
      </c>
      <c r="E42" s="8" t="s">
        <v>341</v>
      </c>
      <c r="F42" s="8" t="s">
        <v>342</v>
      </c>
      <c r="G42" s="8" t="s">
        <v>226</v>
      </c>
      <c r="H42" s="12" t="s">
        <v>22</v>
      </c>
      <c r="I42" s="13" t="s">
        <v>153</v>
      </c>
      <c r="J42" s="8"/>
    </row>
    <row r="43" customFormat="false" ht="35.05" hidden="false" customHeight="false" outlineLevel="0" collapsed="false">
      <c r="A43" s="7" t="s">
        <v>343</v>
      </c>
      <c r="B43" s="8" t="s">
        <v>344</v>
      </c>
      <c r="C43" s="7" t="s">
        <v>345</v>
      </c>
      <c r="D43" s="8" t="s">
        <v>335</v>
      </c>
      <c r="E43" s="8" t="s">
        <v>346</v>
      </c>
      <c r="F43" s="8" t="s">
        <v>347</v>
      </c>
      <c r="G43" s="8" t="s">
        <v>152</v>
      </c>
      <c r="H43" s="12" t="s">
        <v>22</v>
      </c>
      <c r="I43" s="13" t="s">
        <v>153</v>
      </c>
      <c r="J43" s="8"/>
    </row>
    <row r="44" customFormat="false" ht="35.05" hidden="false" customHeight="false" outlineLevel="0" collapsed="false">
      <c r="A44" s="7" t="s">
        <v>348</v>
      </c>
      <c r="B44" s="8" t="s">
        <v>112</v>
      </c>
      <c r="C44" s="7" t="s">
        <v>349</v>
      </c>
      <c r="D44" s="8" t="s">
        <v>335</v>
      </c>
      <c r="E44" s="8" t="s">
        <v>350</v>
      </c>
      <c r="F44" s="8" t="s">
        <v>351</v>
      </c>
      <c r="G44" s="8" t="s">
        <v>152</v>
      </c>
      <c r="H44" s="15" t="s">
        <v>28</v>
      </c>
      <c r="I44" s="13" t="s">
        <v>153</v>
      </c>
      <c r="J44" s="8"/>
    </row>
    <row r="45" customFormat="false" ht="23.85" hidden="false" customHeight="false" outlineLevel="0" collapsed="false">
      <c r="A45" s="7" t="s">
        <v>352</v>
      </c>
      <c r="B45" s="8" t="s">
        <v>114</v>
      </c>
      <c r="C45" s="7" t="s">
        <v>353</v>
      </c>
      <c r="D45" s="8" t="s">
        <v>354</v>
      </c>
      <c r="E45" s="8" t="s">
        <v>355</v>
      </c>
      <c r="F45" s="8" t="s">
        <v>356</v>
      </c>
      <c r="G45" s="8" t="s">
        <v>152</v>
      </c>
      <c r="H45" s="14" t="s">
        <v>25</v>
      </c>
      <c r="I45" s="13" t="s">
        <v>153</v>
      </c>
      <c r="J45" s="8"/>
    </row>
    <row r="46" customFormat="false" ht="23.85" hidden="false" customHeight="false" outlineLevel="0" collapsed="false">
      <c r="A46" s="7" t="s">
        <v>357</v>
      </c>
      <c r="B46" s="8" t="s">
        <v>116</v>
      </c>
      <c r="C46" s="7" t="s">
        <v>358</v>
      </c>
      <c r="D46" s="8" t="s">
        <v>359</v>
      </c>
      <c r="E46" s="8" t="s">
        <v>360</v>
      </c>
      <c r="F46" s="8" t="s">
        <v>361</v>
      </c>
      <c r="G46" s="8" t="s">
        <v>152</v>
      </c>
      <c r="H46" s="12" t="s">
        <v>22</v>
      </c>
      <c r="I46" s="13" t="s">
        <v>153</v>
      </c>
      <c r="J46" s="8"/>
    </row>
    <row r="47" customFormat="false" ht="23.85" hidden="false" customHeight="false" outlineLevel="0" collapsed="false">
      <c r="A47" s="7" t="s">
        <v>362</v>
      </c>
      <c r="B47" s="8" t="s">
        <v>119</v>
      </c>
      <c r="C47" s="7" t="s">
        <v>363</v>
      </c>
      <c r="D47" s="8" t="s">
        <v>364</v>
      </c>
      <c r="E47" s="8" t="s">
        <v>365</v>
      </c>
      <c r="F47" s="8" t="s">
        <v>366</v>
      </c>
      <c r="G47" s="8" t="s">
        <v>152</v>
      </c>
      <c r="H47" s="14" t="s">
        <v>25</v>
      </c>
      <c r="I47" s="13" t="s">
        <v>153</v>
      </c>
      <c r="J47" s="8"/>
    </row>
    <row r="48" customFormat="false" ht="35.05" hidden="false" customHeight="false" outlineLevel="0" collapsed="false">
      <c r="A48" s="7" t="s">
        <v>367</v>
      </c>
      <c r="B48" s="8" t="s">
        <v>121</v>
      </c>
      <c r="C48" s="7" t="s">
        <v>368</v>
      </c>
      <c r="D48" s="8" t="s">
        <v>369</v>
      </c>
      <c r="E48" s="8" t="s">
        <v>370</v>
      </c>
      <c r="F48" s="8" t="s">
        <v>371</v>
      </c>
      <c r="G48" s="8" t="s">
        <v>152</v>
      </c>
      <c r="H48" s="15" t="s">
        <v>28</v>
      </c>
      <c r="I48" s="13" t="s">
        <v>153</v>
      </c>
      <c r="J48" s="8"/>
    </row>
    <row r="49" customFormat="false" ht="35.05" hidden="false" customHeight="false" outlineLevel="0" collapsed="false">
      <c r="A49" s="7" t="s">
        <v>372</v>
      </c>
      <c r="B49" s="8" t="s">
        <v>123</v>
      </c>
      <c r="C49" s="7" t="s">
        <v>373</v>
      </c>
      <c r="D49" s="8" t="s">
        <v>149</v>
      </c>
      <c r="E49" s="8" t="s">
        <v>374</v>
      </c>
      <c r="F49" s="8" t="s">
        <v>375</v>
      </c>
      <c r="G49" s="8" t="s">
        <v>152</v>
      </c>
      <c r="H49" s="12" t="s">
        <v>22</v>
      </c>
      <c r="I49" s="13" t="s">
        <v>153</v>
      </c>
      <c r="J49" s="8"/>
    </row>
    <row r="50" customFormat="false" ht="23.85" hidden="false" customHeight="false" outlineLevel="0" collapsed="false">
      <c r="A50" s="7" t="s">
        <v>376</v>
      </c>
      <c r="B50" s="8" t="s">
        <v>126</v>
      </c>
      <c r="C50" s="7" t="s">
        <v>377</v>
      </c>
      <c r="D50" s="8" t="s">
        <v>149</v>
      </c>
      <c r="E50" s="8" t="s">
        <v>378</v>
      </c>
      <c r="F50" s="8" t="s">
        <v>379</v>
      </c>
      <c r="G50" s="8" t="s">
        <v>164</v>
      </c>
      <c r="H50" s="12" t="s">
        <v>22</v>
      </c>
      <c r="I50" s="13" t="s">
        <v>153</v>
      </c>
      <c r="J50" s="8"/>
    </row>
    <row r="51" customFormat="false" ht="23.85" hidden="false" customHeight="false" outlineLevel="0" collapsed="false">
      <c r="A51" s="7" t="s">
        <v>380</v>
      </c>
      <c r="B51" s="8" t="s">
        <v>128</v>
      </c>
      <c r="C51" s="7" t="s">
        <v>381</v>
      </c>
      <c r="D51" s="8" t="s">
        <v>149</v>
      </c>
      <c r="E51" s="8" t="s">
        <v>382</v>
      </c>
      <c r="F51" s="8" t="s">
        <v>383</v>
      </c>
      <c r="G51" s="8" t="s">
        <v>152</v>
      </c>
      <c r="H51" s="12" t="s">
        <v>22</v>
      </c>
      <c r="I51" s="13" t="s">
        <v>153</v>
      </c>
      <c r="J51" s="8"/>
    </row>
    <row r="52" customFormat="false" ht="35.05" hidden="false" customHeight="false" outlineLevel="0" collapsed="false">
      <c r="A52" s="7" t="s">
        <v>384</v>
      </c>
      <c r="B52" s="8" t="s">
        <v>130</v>
      </c>
      <c r="C52" s="7" t="s">
        <v>385</v>
      </c>
      <c r="D52" s="8" t="s">
        <v>149</v>
      </c>
      <c r="E52" s="8" t="s">
        <v>386</v>
      </c>
      <c r="F52" s="8" t="s">
        <v>387</v>
      </c>
      <c r="G52" s="8" t="s">
        <v>388</v>
      </c>
      <c r="H52" s="14" t="s">
        <v>25</v>
      </c>
      <c r="I52" s="13" t="s">
        <v>153</v>
      </c>
      <c r="J52" s="8"/>
    </row>
    <row r="53" customFormat="false" ht="23.85" hidden="false" customHeight="false" outlineLevel="0" collapsed="false">
      <c r="A53" s="7" t="s">
        <v>389</v>
      </c>
      <c r="B53" s="8" t="s">
        <v>132</v>
      </c>
      <c r="C53" s="7" t="s">
        <v>390</v>
      </c>
      <c r="D53" s="8" t="s">
        <v>391</v>
      </c>
      <c r="E53" s="8" t="s">
        <v>392</v>
      </c>
      <c r="F53" s="8" t="s">
        <v>393</v>
      </c>
      <c r="G53" s="8" t="s">
        <v>394</v>
      </c>
      <c r="H53" s="15" t="s">
        <v>28</v>
      </c>
      <c r="I53" s="13" t="s">
        <v>153</v>
      </c>
      <c r="J53" s="8"/>
    </row>
    <row r="54" customFormat="false" ht="35.05" hidden="false" customHeight="false" outlineLevel="0" collapsed="false">
      <c r="A54" s="7" t="s">
        <v>395</v>
      </c>
      <c r="B54" s="8" t="s">
        <v>134</v>
      </c>
      <c r="C54" s="7" t="s">
        <v>396</v>
      </c>
      <c r="D54" s="8" t="s">
        <v>149</v>
      </c>
      <c r="E54" s="8" t="s">
        <v>397</v>
      </c>
      <c r="F54" s="8" t="s">
        <v>398</v>
      </c>
      <c r="G54" s="8" t="s">
        <v>399</v>
      </c>
      <c r="H54" s="14" t="s">
        <v>25</v>
      </c>
      <c r="I54" s="13" t="s">
        <v>153</v>
      </c>
      <c r="J54" s="8"/>
    </row>
    <row r="55" customFormat="false" ht="23.85" hidden="false" customHeight="false" outlineLevel="0" collapsed="false">
      <c r="A55" s="7" t="s">
        <v>400</v>
      </c>
      <c r="B55" s="8" t="s">
        <v>136</v>
      </c>
      <c r="C55" s="7" t="s">
        <v>401</v>
      </c>
      <c r="D55" s="8" t="s">
        <v>149</v>
      </c>
      <c r="E55" s="8" t="s">
        <v>402</v>
      </c>
      <c r="F55" s="8" t="s">
        <v>403</v>
      </c>
      <c r="G55" s="8" t="s">
        <v>399</v>
      </c>
      <c r="H55" s="15" t="s">
        <v>28</v>
      </c>
      <c r="I55" s="13" t="s">
        <v>153</v>
      </c>
      <c r="J55" s="8"/>
    </row>
  </sheetData>
  <dataValidations count="1">
    <dataValidation allowBlank="true" errorStyle="stop" operator="between" showDropDown="false" showErrorMessage="false" showInputMessage="false" sqref="I2:I55" type="list">
      <formula1>"Pendente,Passou,Falhou,Bloqueado"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2026-08-31T10:46:49Z</dcterms:created>
  <dc:creator>openpyxl</dc:creator>
  <dc:description/>
  <dc:language>en-US</dc:language>
  <cp:lastModifiedBy/>
  <dcterms:modified xsi:type="dcterms:W3CDTF">2026-08-31T10:46:49Z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